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showInkAnnotation="0" codeName="ThisWorkbook"/>
  <mc:AlternateContent xmlns:mc="http://schemas.openxmlformats.org/markup-compatibility/2006">
    <mc:Choice Requires="x15">
      <x15ac:absPath xmlns:x15ac="http://schemas.microsoft.com/office/spreadsheetml/2010/11/ac" url="D:\Inverter Development\"/>
    </mc:Choice>
  </mc:AlternateContent>
  <xr:revisionPtr revIDLastSave="0" documentId="13_ncr:1_{D7B204B6-A3A8-4701-9B2D-F60208063B1A}" xr6:coauthVersionLast="47" xr6:coauthVersionMax="47" xr10:uidLastSave="{00000000-0000-0000-0000-000000000000}"/>
  <bookViews>
    <workbookView xWindow="-120" yWindow="-120" windowWidth="20730" windowHeight="11160" tabRatio="696" activeTab="1" xr2:uid="{00000000-000D-0000-FFFF-FFFF00000000}"/>
  </bookViews>
  <sheets>
    <sheet name="Cover Page" sheetId="10" r:id="rId1"/>
    <sheet name="Product_KPIs_&amp;_Metrics" sheetId="15" r:id="rId2"/>
    <sheet name="Process_KPIs_&amp;_Metrics" sheetId="1" r:id="rId3"/>
    <sheet name="Measures" sheetId="4" state="hidden" r:id="rId4"/>
    <sheet name="Schedule" sheetId="11" state="hidden" r:id="rId5"/>
    <sheet name="Resources" sheetId="13" state="hidden" r:id="rId6"/>
    <sheet name="KPIT_Metrics" sheetId="9" state="hidden" r:id="rId7"/>
    <sheet name="Skills_Competency_Desired" sheetId="12" state="hidden" r:id="rId8"/>
  </sheets>
  <definedNames>
    <definedName name="_xlnm._FilterDatabase" localSheetId="6" hidden="1">KPIT_Metrics!$A$3:$A$62</definedName>
    <definedName name="_xlnm._FilterDatabase" localSheetId="5" hidden="1">Resources!$A$7:$D$240</definedName>
    <definedName name="Cats" localSheetId="1">Table2[Category]</definedName>
    <definedName name="Cats" localSheetId="5">Table2[Category]</definedName>
    <definedName name="Cats" localSheetId="4">Table2[Category]</definedName>
    <definedName name="Cats">Table2[Category]</definedName>
    <definedName name="Grades">KPIT_Metrics!$J$3:$J$10</definedName>
    <definedName name="_xlnm.Print_Area" localSheetId="0">'Cover Page'!$A$1:$H$41</definedName>
    <definedName name="_xlnm.Print_Area" localSheetId="2">'Process_KPIs_&amp;_Metrics'!$A$1:$S$40</definedName>
    <definedName name="_xlnm.Print_Area" localSheetId="1">'Product_KPIs_&amp;_Metrics'!$A$1:$V$39</definedName>
    <definedName name="Roles">KPIT_Metrics!$A$3:$A$11</definedName>
    <definedName name="Selected_Desigs" localSheetId="5">INDEX(Table5[Grades],MATCH([0]!Selected_Role,Table5[Roles],0)):INDEX(Table5[Grades],MATCH([0]!Selected_Role,Table5[Roles],0)+COUNTIF(Table5[Roles],[0]!Selected_Role)-1)</definedName>
    <definedName name="Selected_Role">Resources!A$2</definedName>
    <definedName name="SelectedCat" localSheetId="1">'Product_KPIs_&amp;_Metrics'!$B1</definedName>
    <definedName name="SelectedCat">'Process_KPIs_&amp;_Metrics'!$B1</definedName>
    <definedName name="SelectedKPI" localSheetId="1">'Product_KPIs_&amp;_Metrics'!$C1</definedName>
    <definedName name="SelectedKPI">'Process_KPIs_&amp;_Metrics'!$C1</definedName>
    <definedName name="SelectedKPIs" localSheetId="1">INDEX(KPIT_Metrics!$E$3:$G$3,1,MATCH('Product_KPIs_&amp;_Metrics'!SelectedCat,KPIT_Metrics!$E$2:$G$2,0)):INDEX(KPIT_Metrics!$E$3:$G$101,COUNTA(INDEX(KPIT_Metrics!$E$3:$G$101,1,MATCH('Product_KPIs_&amp;_Metrics'!SelectedCat,KPIT_Metrics!$E$2:$G$2,0)):INDEX(KPIT_Metrics!$E$3:$G$101,98,MATCH('Product_KPIs_&amp;_Metrics'!SelectedCat,KPIT_Metrics!$E$2:P$2,0))),MATCH('Product_KPIs_&amp;_Metrics'!SelectedCat,KPIT_Metrics!$E$2:P$2,0))</definedName>
    <definedName name="SelectedKPIs">INDEX(KPIT_Metrics!$E$3:$G$3,1,MATCH(SelectedCat,KPIT_Metrics!$E$2:$G$2,0)):INDEX(KPIT_Metrics!$E$3:$G$101,COUNTA(INDEX(KPIT_Metrics!$E$3:$G$101,1,MATCH(SelectedCat,KPIT_Metrics!$E$2:$G$2,0)):INDEX(KPIT_Metrics!$E$3:$G$101,98,MATCH(SelectedCat,KPIT_Metrics!$E$2:P$2,0))),MATCH(SelectedCat,KPIT_Metrics!$E$2:P$2,0))</definedName>
    <definedName name="SelectedMetrics" localSheetId="1">INDEX(Table4[Metric],MATCH('Product_KPIs_&amp;_Metrics'!SelectedKPI,Table4[KPI],0),1):INDEX(Table4[Metric],MATCH('Product_KPIs_&amp;_Metrics'!SelectedKPI,Table4[KPI],0)+COUNTIF(Table4[KPI],'Product_KPIs_&amp;_Metrics'!SelectedKPI)-1,1)</definedName>
    <definedName name="SelectedMetrics" localSheetId="5">INDEX(Table4[Metric],MATCH([0]!SelectedKPI,Table4[KPI],0),1):INDEX(Table4[Metric],MATCH([0]!SelectedKPI,Table4[KPI],0)+COUNTIF(Table4[KPI],[0]!SelectedKPI)-1,1)</definedName>
    <definedName name="SelectedMetrics" localSheetId="4">INDEX(Table4[Metric],MATCH([0]!SelectedKPI,Table4[KPI],0),1):INDEX(Table4[Metric],MATCH([0]!SelectedKPI,Table4[KPI],0)+COUNTIF(Table4[KPI],[0]!SelectedKPI)-1,1)</definedName>
    <definedName name="SelectedMetrics">INDEX(Table4[Metric],MATCH(SelectedKPI,Table4[KPI],0),1):INDEX(Table4[Metric],MATCH(SelectedKPI,Table4[KPI],0)+COUNTIF(Table4[KPI],SelectedKPI)-1,1)</definedName>
    <definedName name="SkillGroups">KPIT_Metrics!$I$3:$I$20</definedName>
    <definedName name="SkillRoles">Skills_Competency_Desired!$D$14:$Z$14</definedName>
    <definedName name="Skills_DB">Skills_Competency_Desired!$D$14:$Z$349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5" i="13" l="1"/>
  <c r="M223" i="13"/>
  <c r="M215" i="13"/>
  <c r="M206" i="13"/>
  <c r="M200" i="13"/>
  <c r="M195" i="13"/>
  <c r="M188" i="13"/>
  <c r="M178" i="13"/>
  <c r="M166" i="13"/>
  <c r="M148" i="13"/>
  <c r="M139" i="13"/>
  <c r="M130" i="13"/>
  <c r="M120" i="13"/>
  <c r="M110" i="13"/>
  <c r="M101" i="13"/>
  <c r="M91" i="13"/>
  <c r="M81" i="13"/>
  <c r="M70" i="13"/>
  <c r="M63" i="13"/>
  <c r="M53" i="13"/>
  <c r="M39" i="13"/>
  <c r="M30" i="13"/>
  <c r="M8" i="13"/>
  <c r="N235" i="13"/>
  <c r="N234" i="13"/>
  <c r="N233" i="13"/>
  <c r="N232" i="13"/>
  <c r="N231" i="13"/>
  <c r="N230" i="13"/>
  <c r="N229" i="13"/>
  <c r="N228" i="13"/>
  <c r="N227" i="13"/>
  <c r="N226" i="13"/>
  <c r="N225" i="13"/>
  <c r="N224" i="13"/>
  <c r="N223" i="13"/>
  <c r="N222" i="13"/>
  <c r="N221" i="13"/>
  <c r="N220" i="13"/>
  <c r="N219" i="13"/>
  <c r="N218" i="13"/>
  <c r="N217" i="13"/>
  <c r="N216" i="13"/>
  <c r="N215" i="13"/>
  <c r="N214" i="13"/>
  <c r="N213" i="13"/>
  <c r="N212" i="13"/>
  <c r="N211" i="13"/>
  <c r="N210" i="13"/>
  <c r="N209" i="13"/>
  <c r="N208" i="13"/>
  <c r="N207" i="13"/>
  <c r="N206" i="13"/>
  <c r="N205" i="13"/>
  <c r="N204" i="13"/>
  <c r="N203" i="13"/>
  <c r="N202" i="13"/>
  <c r="N201" i="13"/>
  <c r="N200" i="13"/>
  <c r="N199" i="13"/>
  <c r="N198" i="13"/>
  <c r="N197" i="13"/>
  <c r="N196" i="13"/>
  <c r="N195" i="13"/>
  <c r="N194" i="13"/>
  <c r="N193" i="13"/>
  <c r="N192" i="13"/>
  <c r="N191" i="13"/>
  <c r="N190" i="13"/>
  <c r="N189" i="13"/>
  <c r="N188" i="13"/>
  <c r="N187" i="13"/>
  <c r="N186" i="13"/>
  <c r="N185" i="13"/>
  <c r="N184" i="13"/>
  <c r="N183" i="13"/>
  <c r="N182" i="13"/>
  <c r="N181" i="13"/>
  <c r="N180" i="13"/>
  <c r="N179" i="13"/>
  <c r="N178" i="13"/>
  <c r="N177" i="13"/>
  <c r="N176" i="13"/>
  <c r="N175" i="13"/>
  <c r="N174" i="13"/>
  <c r="N173" i="13"/>
  <c r="N172" i="13"/>
  <c r="N171" i="13"/>
  <c r="N170" i="13"/>
  <c r="N169" i="13"/>
  <c r="N168" i="13"/>
  <c r="N167" i="13"/>
  <c r="N166" i="13"/>
  <c r="N165" i="13"/>
  <c r="N164" i="13"/>
  <c r="N163" i="13"/>
  <c r="N162" i="13"/>
  <c r="N161" i="13"/>
  <c r="N160" i="13"/>
  <c r="N159" i="13"/>
  <c r="N158" i="13"/>
  <c r="N157" i="13"/>
  <c r="N156" i="13"/>
  <c r="N155" i="13"/>
  <c r="N154" i="13"/>
  <c r="N153" i="13"/>
  <c r="N152" i="13"/>
  <c r="N151" i="13"/>
  <c r="N150" i="13"/>
  <c r="N149" i="13"/>
  <c r="N148" i="13"/>
  <c r="N147" i="13"/>
  <c r="N146" i="13"/>
  <c r="N145" i="13"/>
  <c r="N144" i="13"/>
  <c r="N143" i="13"/>
  <c r="N142" i="13"/>
  <c r="N141" i="13"/>
  <c r="N140" i="13"/>
  <c r="N139" i="13"/>
  <c r="N138" i="13"/>
  <c r="N137" i="13"/>
  <c r="N136" i="13"/>
  <c r="N135" i="13"/>
  <c r="N134" i="13"/>
  <c r="N133" i="13"/>
  <c r="N132" i="13"/>
  <c r="N131" i="13"/>
  <c r="N130" i="13"/>
  <c r="N129" i="13"/>
  <c r="N128" i="13"/>
  <c r="N127" i="13"/>
  <c r="N126" i="13"/>
  <c r="N125" i="13"/>
  <c r="N124" i="13"/>
  <c r="N123" i="13"/>
  <c r="N122" i="13"/>
  <c r="N121" i="13"/>
  <c r="N120" i="13"/>
  <c r="N119" i="13"/>
  <c r="N118" i="13"/>
  <c r="N117" i="13"/>
  <c r="N116" i="13"/>
  <c r="N115" i="13"/>
  <c r="N114" i="13"/>
  <c r="N113" i="13"/>
  <c r="N112" i="13"/>
  <c r="N111" i="13"/>
  <c r="N110" i="13"/>
  <c r="N109" i="13"/>
  <c r="N108" i="13"/>
  <c r="N107" i="13"/>
  <c r="N106" i="13"/>
  <c r="N105" i="13"/>
  <c r="N104" i="13"/>
  <c r="N103" i="13"/>
  <c r="N102" i="13"/>
  <c r="N101" i="13"/>
  <c r="N100" i="13"/>
  <c r="N99" i="13"/>
  <c r="N98" i="13"/>
  <c r="N97" i="13"/>
  <c r="N96" i="13"/>
  <c r="N95" i="13"/>
  <c r="N94" i="13"/>
  <c r="N93" i="13"/>
  <c r="N92" i="13"/>
  <c r="N91" i="13"/>
  <c r="N90" i="13"/>
  <c r="N89" i="13"/>
  <c r="N88" i="13"/>
  <c r="N87" i="13"/>
  <c r="N86" i="13"/>
  <c r="N85" i="13"/>
  <c r="N84" i="13"/>
  <c r="N83" i="13"/>
  <c r="N82" i="13"/>
  <c r="N81" i="13"/>
  <c r="N80" i="13"/>
  <c r="N79" i="13"/>
  <c r="N78" i="13"/>
  <c r="N77" i="13"/>
  <c r="N76" i="13"/>
  <c r="N75" i="13"/>
  <c r="N74" i="13"/>
  <c r="N73" i="13"/>
  <c r="N72" i="13"/>
  <c r="N71" i="13"/>
  <c r="N70" i="13"/>
  <c r="N69" i="13"/>
  <c r="N68" i="13"/>
  <c r="N67" i="13"/>
  <c r="N66" i="13"/>
  <c r="N65" i="13"/>
  <c r="N64" i="13"/>
  <c r="N63" i="13"/>
  <c r="N62" i="13"/>
  <c r="N61" i="13"/>
  <c r="N60" i="13"/>
  <c r="N59" i="13"/>
  <c r="N58" i="13"/>
  <c r="N57" i="13"/>
  <c r="N56" i="13"/>
  <c r="N55" i="13"/>
  <c r="N54" i="13"/>
  <c r="N53" i="13"/>
  <c r="N52" i="13"/>
  <c r="N51" i="13"/>
  <c r="N50" i="13"/>
  <c r="N49" i="13"/>
  <c r="N48" i="13"/>
  <c r="N47" i="13"/>
  <c r="N46" i="13"/>
  <c r="N45" i="13"/>
  <c r="N44" i="13"/>
  <c r="N43" i="13"/>
  <c r="N42" i="13"/>
  <c r="N41" i="13"/>
  <c r="N40" i="13"/>
  <c r="N39" i="13"/>
  <c r="N38" i="13"/>
  <c r="N37" i="13"/>
  <c r="N36" i="13"/>
  <c r="N35" i="13"/>
  <c r="N34" i="13"/>
  <c r="N33" i="13"/>
  <c r="N32" i="13"/>
  <c r="N31" i="13"/>
  <c r="N30" i="13"/>
  <c r="N29" i="13"/>
  <c r="N28" i="13"/>
  <c r="N27" i="13"/>
  <c r="N26" i="13"/>
  <c r="N25" i="13"/>
  <c r="N24" i="13"/>
  <c r="N23" i="13"/>
  <c r="N22" i="13"/>
  <c r="N21" i="13"/>
  <c r="N20" i="13"/>
  <c r="N19" i="13"/>
  <c r="N18" i="13"/>
  <c r="N17" i="13"/>
  <c r="N16" i="13"/>
  <c r="N15" i="13"/>
  <c r="N14" i="13"/>
  <c r="N13" i="13"/>
  <c r="N12" i="13"/>
  <c r="N11" i="13"/>
  <c r="N10" i="13"/>
  <c r="N9" i="13"/>
  <c r="N8" i="13"/>
  <c r="N240" i="13"/>
  <c r="N236" i="13"/>
  <c r="M230" i="13"/>
  <c r="M13" i="13" l="1"/>
  <c r="M25" i="13"/>
  <c r="M37" i="13"/>
  <c r="M49" i="13"/>
  <c r="M61" i="13"/>
  <c r="M73" i="13"/>
  <c r="M89" i="13"/>
  <c r="M105" i="13"/>
  <c r="M121" i="13"/>
  <c r="M133" i="13"/>
  <c r="M149" i="13"/>
  <c r="M161" i="13"/>
  <c r="M173" i="13"/>
  <c r="M185" i="13"/>
  <c r="M197" i="13"/>
  <c r="M217" i="13"/>
  <c r="M10" i="13"/>
  <c r="M14" i="13"/>
  <c r="M18" i="13"/>
  <c r="M22" i="13"/>
  <c r="M26" i="13"/>
  <c r="M34" i="13"/>
  <c r="M38" i="13"/>
  <c r="M42" i="13"/>
  <c r="M46" i="13"/>
  <c r="M50" i="13"/>
  <c r="M54" i="13"/>
  <c r="M58" i="13"/>
  <c r="M62" i="13"/>
  <c r="M66" i="13"/>
  <c r="M74" i="13"/>
  <c r="M78" i="13"/>
  <c r="M82" i="13"/>
  <c r="M86" i="13"/>
  <c r="M90" i="13"/>
  <c r="M94" i="13"/>
  <c r="M98" i="13"/>
  <c r="M102" i="13"/>
  <c r="M106" i="13"/>
  <c r="M114" i="13"/>
  <c r="M118" i="13"/>
  <c r="M122" i="13"/>
  <c r="M126" i="13"/>
  <c r="M134" i="13"/>
  <c r="M138" i="13"/>
  <c r="M142" i="13"/>
  <c r="M146" i="13"/>
  <c r="M150" i="13"/>
  <c r="M154" i="13"/>
  <c r="M158" i="13"/>
  <c r="M162" i="13"/>
  <c r="M170" i="13"/>
  <c r="M174" i="13"/>
  <c r="M182" i="13"/>
  <c r="M186" i="13"/>
  <c r="M190" i="13"/>
  <c r="M194" i="13"/>
  <c r="M198" i="13"/>
  <c r="M202" i="13"/>
  <c r="M210" i="13"/>
  <c r="M214" i="13"/>
  <c r="M218" i="13"/>
  <c r="M222" i="13"/>
  <c r="M226" i="13"/>
  <c r="M17" i="13"/>
  <c r="M29" i="13"/>
  <c r="M41" i="13"/>
  <c r="M65" i="13"/>
  <c r="M77" i="13"/>
  <c r="M85" i="13"/>
  <c r="M97" i="13"/>
  <c r="M109" i="13"/>
  <c r="M117" i="13"/>
  <c r="M129" i="13"/>
  <c r="M141" i="13"/>
  <c r="M153" i="13"/>
  <c r="M169" i="13"/>
  <c r="M181" i="13"/>
  <c r="M193" i="13"/>
  <c r="M201" i="13"/>
  <c r="M213" i="13"/>
  <c r="M221" i="13"/>
  <c r="M11" i="13"/>
  <c r="M15" i="13"/>
  <c r="M19" i="13"/>
  <c r="M23" i="13"/>
  <c r="M27" i="13"/>
  <c r="M31" i="13"/>
  <c r="M35" i="13"/>
  <c r="M43" i="13"/>
  <c r="M47" i="13"/>
  <c r="M51" i="13"/>
  <c r="M55" i="13"/>
  <c r="M59" i="13"/>
  <c r="M67" i="13"/>
  <c r="M71" i="13"/>
  <c r="M75" i="13"/>
  <c r="M79" i="13"/>
  <c r="M83" i="13"/>
  <c r="M87" i="13"/>
  <c r="M95" i="13"/>
  <c r="M99" i="13"/>
  <c r="M103" i="13"/>
  <c r="M107" i="13"/>
  <c r="M111" i="13"/>
  <c r="M115" i="13"/>
  <c r="M119" i="13"/>
  <c r="M123" i="13"/>
  <c r="M127" i="13"/>
  <c r="M131" i="13"/>
  <c r="M135" i="13"/>
  <c r="M143" i="13"/>
  <c r="M147" i="13"/>
  <c r="M151" i="13"/>
  <c r="M155" i="13"/>
  <c r="M159" i="13"/>
  <c r="M163" i="13"/>
  <c r="M167" i="13"/>
  <c r="M171" i="13"/>
  <c r="M175" i="13"/>
  <c r="M179" i="13"/>
  <c r="M183" i="13"/>
  <c r="M187" i="13"/>
  <c r="M191" i="13"/>
  <c r="M199" i="13"/>
  <c r="M203" i="13"/>
  <c r="M207" i="13"/>
  <c r="M211" i="13"/>
  <c r="M219" i="13"/>
  <c r="M227" i="13"/>
  <c r="M9" i="13"/>
  <c r="M21" i="13"/>
  <c r="M33" i="13"/>
  <c r="M45" i="13"/>
  <c r="M57" i="13"/>
  <c r="M69" i="13"/>
  <c r="M93" i="13"/>
  <c r="M113" i="13"/>
  <c r="M125" i="13"/>
  <c r="M137" i="13"/>
  <c r="M145" i="13"/>
  <c r="M157" i="13"/>
  <c r="M165" i="13"/>
  <c r="M177" i="13"/>
  <c r="M189" i="13"/>
  <c r="M205" i="13"/>
  <c r="M209" i="13"/>
  <c r="M225" i="13"/>
  <c r="M12" i="13"/>
  <c r="M16" i="13"/>
  <c r="M20" i="13"/>
  <c r="M24" i="13"/>
  <c r="M28" i="13"/>
  <c r="M32" i="13"/>
  <c r="M36" i="13"/>
  <c r="M40" i="13"/>
  <c r="M44" i="13"/>
  <c r="M48" i="13"/>
  <c r="M52" i="13"/>
  <c r="M56" i="13"/>
  <c r="M60" i="13"/>
  <c r="M64" i="13"/>
  <c r="M68" i="13"/>
  <c r="M72" i="13"/>
  <c r="M76" i="13"/>
  <c r="M80" i="13"/>
  <c r="M84" i="13"/>
  <c r="M88" i="13"/>
  <c r="M92" i="13"/>
  <c r="M96" i="13"/>
  <c r="M100" i="13"/>
  <c r="M104" i="13"/>
  <c r="M108" i="13"/>
  <c r="M112" i="13"/>
  <c r="M116" i="13"/>
  <c r="M124" i="13"/>
  <c r="M128" i="13"/>
  <c r="M132" i="13"/>
  <c r="M136" i="13"/>
  <c r="M140" i="13"/>
  <c r="M144" i="13"/>
  <c r="M152" i="13"/>
  <c r="M156" i="13"/>
  <c r="M160" i="13"/>
  <c r="M164" i="13"/>
  <c r="M168" i="13"/>
  <c r="M172" i="13"/>
  <c r="M176" i="13"/>
  <c r="M180" i="13"/>
  <c r="M184" i="13"/>
  <c r="M192" i="13"/>
  <c r="M196" i="13"/>
  <c r="M204" i="13"/>
  <c r="M208" i="13"/>
  <c r="M212" i="13"/>
  <c r="M216" i="13"/>
  <c r="M220" i="13"/>
  <c r="M224" i="13"/>
  <c r="M228" i="13"/>
  <c r="J40" i="15"/>
  <c r="I40" i="15"/>
  <c r="H40" i="15"/>
  <c r="G40" i="15"/>
  <c r="F40" i="15"/>
  <c r="E40" i="15"/>
  <c r="G13" i="15"/>
  <c r="I13" i="15"/>
  <c r="H13" i="15"/>
  <c r="J9" i="15"/>
  <c r="J10" i="15"/>
  <c r="J11" i="15"/>
  <c r="J12" i="15"/>
  <c r="J13" i="15"/>
  <c r="I9" i="15"/>
  <c r="H9" i="15"/>
  <c r="G9" i="15"/>
  <c r="J7" i="15"/>
  <c r="I7" i="15"/>
  <c r="H7" i="15"/>
  <c r="G7" i="15"/>
  <c r="F7" i="15"/>
  <c r="E7" i="15"/>
  <c r="I12" i="15"/>
  <c r="H12" i="15"/>
  <c r="G12" i="15"/>
  <c r="F12" i="15"/>
  <c r="E12" i="15"/>
  <c r="I11" i="15"/>
  <c r="H11" i="15"/>
  <c r="G11" i="15"/>
  <c r="F11" i="15"/>
  <c r="E11" i="15"/>
  <c r="I10" i="15"/>
  <c r="H10" i="15"/>
  <c r="G10" i="15"/>
  <c r="F10" i="15"/>
  <c r="E10" i="15"/>
  <c r="F9" i="15"/>
  <c r="F13" i="15"/>
  <c r="E13" i="15"/>
  <c r="E9" i="15"/>
  <c r="J8" i="15"/>
  <c r="I8" i="15"/>
  <c r="H8" i="15"/>
  <c r="G8" i="15"/>
  <c r="F8" i="15"/>
  <c r="E8" i="15"/>
  <c r="J6" i="15"/>
  <c r="I6" i="15"/>
  <c r="H6" i="15"/>
  <c r="G6" i="15"/>
  <c r="F6" i="15"/>
  <c r="E6" i="15"/>
  <c r="J5" i="15"/>
  <c r="I5" i="15"/>
  <c r="H5" i="15"/>
  <c r="G5" i="15"/>
  <c r="F5" i="15"/>
  <c r="E5" i="15"/>
  <c r="J4" i="15"/>
  <c r="I4" i="15"/>
  <c r="H4" i="15"/>
  <c r="G4" i="15"/>
  <c r="F4" i="15"/>
  <c r="E4" i="15"/>
  <c r="J7" i="1"/>
  <c r="I7" i="1"/>
  <c r="H7" i="1"/>
  <c r="G7" i="1"/>
  <c r="F7" i="1"/>
  <c r="E7" i="1"/>
  <c r="J6" i="1" l="1"/>
  <c r="I6" i="1"/>
  <c r="H6" i="1"/>
  <c r="G6" i="1"/>
  <c r="F6" i="1"/>
  <c r="E6" i="1"/>
  <c r="J5" i="1"/>
  <c r="I5" i="1"/>
  <c r="H5" i="1"/>
  <c r="G5" i="1"/>
  <c r="F5" i="1"/>
  <c r="E5" i="1"/>
  <c r="J4" i="1"/>
  <c r="I4" i="1"/>
  <c r="H4" i="1"/>
  <c r="G4" i="1"/>
  <c r="F4" i="1"/>
  <c r="E4" i="1"/>
  <c r="E9" i="1" l="1"/>
  <c r="F9" i="1"/>
  <c r="G9" i="1"/>
  <c r="H9" i="1"/>
  <c r="I9" i="1"/>
  <c r="J9" i="1"/>
  <c r="T9" i="1"/>
  <c r="E8" i="1"/>
  <c r="F8" i="1"/>
  <c r="G8" i="1"/>
  <c r="H8" i="1"/>
  <c r="I8" i="1"/>
  <c r="J8" i="1"/>
  <c r="T6" i="1"/>
  <c r="T7" i="1"/>
  <c r="T8" i="1"/>
  <c r="E10" i="1"/>
  <c r="E11" i="1"/>
  <c r="E12" i="1"/>
  <c r="F10" i="1"/>
  <c r="F11" i="1"/>
  <c r="F12" i="1"/>
  <c r="G10" i="1"/>
  <c r="G11" i="1"/>
  <c r="G12" i="1"/>
  <c r="H10" i="1"/>
  <c r="H11" i="1"/>
  <c r="H12" i="1"/>
  <c r="I10" i="1"/>
  <c r="I11" i="1"/>
  <c r="I12" i="1"/>
  <c r="J10" i="1"/>
  <c r="J11" i="1"/>
  <c r="J12" i="1"/>
  <c r="T10" i="1"/>
  <c r="T11" i="1"/>
  <c r="T12" i="1"/>
  <c r="E13" i="1"/>
  <c r="F13" i="1"/>
  <c r="G13" i="1"/>
  <c r="H13" i="1"/>
  <c r="I13" i="1"/>
  <c r="J13" i="1"/>
  <c r="T13" i="1"/>
  <c r="T4" i="1"/>
  <c r="T5" i="1"/>
  <c r="W39" i="15"/>
  <c r="J39" i="15"/>
  <c r="I39" i="15"/>
  <c r="H39" i="15"/>
  <c r="G39" i="15"/>
  <c r="F39" i="15"/>
  <c r="E39" i="15"/>
  <c r="W38" i="15"/>
  <c r="J38" i="15"/>
  <c r="I38" i="15"/>
  <c r="H38" i="15"/>
  <c r="G38" i="15"/>
  <c r="F38" i="15"/>
  <c r="E38" i="15"/>
  <c r="W37" i="15"/>
  <c r="W36" i="15"/>
  <c r="W35" i="15"/>
  <c r="W34" i="15"/>
  <c r="W33" i="15"/>
  <c r="W32" i="15"/>
  <c r="W31" i="15"/>
  <c r="J31" i="15"/>
  <c r="I31" i="15"/>
  <c r="H31" i="15"/>
  <c r="G31" i="15"/>
  <c r="F31" i="15"/>
  <c r="E31" i="15"/>
  <c r="W30" i="15"/>
  <c r="J30" i="15"/>
  <c r="I30" i="15"/>
  <c r="H30" i="15"/>
  <c r="G30" i="15"/>
  <c r="F30" i="15"/>
  <c r="E30" i="15"/>
  <c r="W29" i="15"/>
  <c r="J29" i="15"/>
  <c r="I29" i="15"/>
  <c r="H29" i="15"/>
  <c r="G29" i="15"/>
  <c r="F29" i="15"/>
  <c r="E29" i="15"/>
  <c r="W28" i="15"/>
  <c r="J28" i="15"/>
  <c r="I28" i="15"/>
  <c r="H28" i="15"/>
  <c r="G28" i="15"/>
  <c r="F28" i="15"/>
  <c r="E28" i="15"/>
  <c r="W27" i="15"/>
  <c r="J27" i="15"/>
  <c r="I27" i="15"/>
  <c r="H27" i="15"/>
  <c r="G27" i="15"/>
  <c r="F27" i="15"/>
  <c r="E27" i="15"/>
  <c r="W26" i="15"/>
  <c r="J26" i="15"/>
  <c r="I26" i="15"/>
  <c r="H26" i="15"/>
  <c r="G26" i="15"/>
  <c r="F26" i="15"/>
  <c r="E26" i="15"/>
  <c r="W25" i="15"/>
  <c r="J25" i="15"/>
  <c r="I25" i="15"/>
  <c r="H25" i="15"/>
  <c r="G25" i="15"/>
  <c r="F25" i="15"/>
  <c r="E25" i="15"/>
  <c r="W24" i="15"/>
  <c r="J24" i="15"/>
  <c r="I24" i="15"/>
  <c r="H24" i="15"/>
  <c r="G24" i="15"/>
  <c r="F24" i="15"/>
  <c r="E24" i="15"/>
  <c r="W23" i="15"/>
  <c r="W22" i="15"/>
  <c r="W21" i="15"/>
  <c r="W20" i="15"/>
  <c r="W19" i="15"/>
  <c r="W18" i="15"/>
  <c r="W17" i="15"/>
  <c r="W16" i="15"/>
  <c r="W15" i="15"/>
  <c r="W14" i="15"/>
  <c r="W13" i="15"/>
  <c r="W12" i="15"/>
  <c r="W11" i="15"/>
  <c r="W10" i="15"/>
  <c r="W9" i="15"/>
  <c r="W8" i="15"/>
  <c r="W7" i="15"/>
  <c r="W6" i="15"/>
  <c r="W5" i="15"/>
  <c r="W4" i="15"/>
  <c r="AF3" i="15"/>
  <c r="AE3" i="15"/>
  <c r="AD3" i="15"/>
  <c r="AC3" i="15"/>
  <c r="AB3" i="15"/>
  <c r="AA3" i="15"/>
  <c r="J40" i="1" l="1"/>
  <c r="I40" i="1"/>
  <c r="H40" i="1"/>
  <c r="G40" i="1"/>
  <c r="F40" i="1"/>
  <c r="E40" i="1"/>
  <c r="L5" i="13" l="1"/>
  <c r="K149" i="13" s="1"/>
  <c r="K223" i="13"/>
  <c r="K215" i="13"/>
  <c r="K206" i="13"/>
  <c r="K200" i="13"/>
  <c r="K195" i="13"/>
  <c r="K188" i="13"/>
  <c r="K178" i="13"/>
  <c r="K166" i="13"/>
  <c r="K165" i="13"/>
  <c r="K148" i="13"/>
  <c r="K139" i="13"/>
  <c r="K130" i="13"/>
  <c r="K120" i="13"/>
  <c r="K110" i="13"/>
  <c r="K101" i="13"/>
  <c r="K91" i="13"/>
  <c r="K81" i="13"/>
  <c r="K70" i="13"/>
  <c r="K63" i="13"/>
  <c r="K53" i="13"/>
  <c r="K39" i="13"/>
  <c r="K30" i="13"/>
  <c r="K29" i="13"/>
  <c r="K8" i="13"/>
  <c r="L235" i="13"/>
  <c r="L234" i="13"/>
  <c r="L233" i="13"/>
  <c r="L232" i="13"/>
  <c r="L231" i="13"/>
  <c r="L230" i="13"/>
  <c r="L229" i="13"/>
  <c r="L228" i="13"/>
  <c r="L227" i="13"/>
  <c r="L226" i="13"/>
  <c r="L225" i="13"/>
  <c r="L224" i="13"/>
  <c r="L223" i="13"/>
  <c r="L222" i="13"/>
  <c r="L221" i="13"/>
  <c r="L220" i="13"/>
  <c r="L219" i="13"/>
  <c r="L218" i="13"/>
  <c r="L217" i="13"/>
  <c r="L216" i="13"/>
  <c r="L215" i="13"/>
  <c r="L214" i="13"/>
  <c r="L213" i="13"/>
  <c r="L212" i="13"/>
  <c r="L211" i="13"/>
  <c r="L210" i="13"/>
  <c r="L209" i="13"/>
  <c r="L208" i="13"/>
  <c r="L207" i="13"/>
  <c r="L206" i="13"/>
  <c r="L205" i="13"/>
  <c r="L204" i="13"/>
  <c r="L203" i="13"/>
  <c r="L202" i="13"/>
  <c r="L201" i="13"/>
  <c r="L200" i="13"/>
  <c r="L199" i="13"/>
  <c r="L198" i="13"/>
  <c r="L197" i="13"/>
  <c r="L196" i="13"/>
  <c r="L195" i="13"/>
  <c r="L194" i="13"/>
  <c r="L193" i="13"/>
  <c r="L192" i="13"/>
  <c r="L191" i="13"/>
  <c r="L190" i="13"/>
  <c r="L189" i="13"/>
  <c r="L188" i="13"/>
  <c r="L187" i="13"/>
  <c r="L186" i="13"/>
  <c r="L185" i="13"/>
  <c r="L184" i="13"/>
  <c r="L183" i="13"/>
  <c r="L182" i="13"/>
  <c r="L181" i="13"/>
  <c r="L180" i="13"/>
  <c r="L179" i="13"/>
  <c r="L178" i="13"/>
  <c r="L177" i="13"/>
  <c r="L176" i="13"/>
  <c r="L175" i="13"/>
  <c r="L174" i="13"/>
  <c r="L173" i="13"/>
  <c r="L172" i="13"/>
  <c r="L171" i="13"/>
  <c r="L170" i="13"/>
  <c r="L169" i="13"/>
  <c r="L168" i="13"/>
  <c r="L167" i="13"/>
  <c r="L166" i="13"/>
  <c r="L165" i="13"/>
  <c r="L164" i="13"/>
  <c r="L163" i="13"/>
  <c r="L162" i="13"/>
  <c r="L161" i="13"/>
  <c r="L160" i="13"/>
  <c r="L159" i="13"/>
  <c r="L158" i="13"/>
  <c r="L157" i="13"/>
  <c r="L156" i="13"/>
  <c r="L155" i="13"/>
  <c r="L154" i="13"/>
  <c r="L153" i="13"/>
  <c r="L152" i="13"/>
  <c r="L151" i="13"/>
  <c r="L150" i="13"/>
  <c r="L149" i="13"/>
  <c r="L148" i="13"/>
  <c r="L147" i="13"/>
  <c r="L146" i="13"/>
  <c r="L145" i="13"/>
  <c r="L144" i="13"/>
  <c r="L143" i="13"/>
  <c r="L142" i="13"/>
  <c r="L141" i="13"/>
  <c r="L140" i="13"/>
  <c r="L139" i="13"/>
  <c r="L138" i="13"/>
  <c r="L137" i="13"/>
  <c r="L136" i="13"/>
  <c r="L135" i="13"/>
  <c r="L134" i="13"/>
  <c r="L133" i="13"/>
  <c r="L132" i="13"/>
  <c r="L131" i="13"/>
  <c r="L130" i="13"/>
  <c r="L129" i="13"/>
  <c r="L128" i="13"/>
  <c r="L127" i="13"/>
  <c r="L126" i="13"/>
  <c r="L125" i="13"/>
  <c r="L124" i="13"/>
  <c r="L123" i="13"/>
  <c r="L122" i="13"/>
  <c r="L121" i="13"/>
  <c r="L120" i="13"/>
  <c r="L119" i="13"/>
  <c r="L118" i="13"/>
  <c r="L117" i="13"/>
  <c r="L116" i="13"/>
  <c r="L115" i="13"/>
  <c r="L114" i="13"/>
  <c r="L113" i="13"/>
  <c r="L112" i="13"/>
  <c r="L111" i="13"/>
  <c r="L110" i="13"/>
  <c r="L109" i="13"/>
  <c r="L108" i="13"/>
  <c r="L107" i="13"/>
  <c r="L106" i="13"/>
  <c r="L105" i="13"/>
  <c r="L104" i="13"/>
  <c r="L103" i="13"/>
  <c r="L102" i="13"/>
  <c r="L101" i="13"/>
  <c r="L100" i="13"/>
  <c r="L99" i="13"/>
  <c r="L98" i="13"/>
  <c r="L97" i="13"/>
  <c r="L96" i="13"/>
  <c r="L95" i="13"/>
  <c r="L94" i="13"/>
  <c r="L93" i="13"/>
  <c r="L92" i="13"/>
  <c r="L91" i="13"/>
  <c r="L90" i="13"/>
  <c r="L89" i="13"/>
  <c r="L88" i="13"/>
  <c r="L87" i="13"/>
  <c r="L86" i="13"/>
  <c r="L85" i="13"/>
  <c r="L84" i="13"/>
  <c r="L83" i="13"/>
  <c r="L82" i="13"/>
  <c r="L81" i="13"/>
  <c r="L80" i="13"/>
  <c r="L79" i="13"/>
  <c r="L78" i="13"/>
  <c r="L77" i="13"/>
  <c r="L76" i="13"/>
  <c r="L75" i="13"/>
  <c r="L74" i="13"/>
  <c r="L73" i="13"/>
  <c r="L72" i="13"/>
  <c r="L71" i="13"/>
  <c r="L70" i="13"/>
  <c r="L69" i="13"/>
  <c r="L68" i="13"/>
  <c r="L67" i="13"/>
  <c r="L66" i="13"/>
  <c r="L65" i="13"/>
  <c r="L64" i="13"/>
  <c r="L63" i="13"/>
  <c r="L62" i="13"/>
  <c r="L61" i="13"/>
  <c r="L60" i="13"/>
  <c r="L59" i="13"/>
  <c r="L58" i="13"/>
  <c r="L57" i="13"/>
  <c r="L56" i="13"/>
  <c r="L55" i="13"/>
  <c r="L54" i="13"/>
  <c r="L53" i="13"/>
  <c r="L52" i="13"/>
  <c r="L51" i="13"/>
  <c r="L50" i="13"/>
  <c r="L49" i="13"/>
  <c r="L48" i="13"/>
  <c r="L47" i="13"/>
  <c r="L46" i="13"/>
  <c r="L45" i="13"/>
  <c r="L44" i="13"/>
  <c r="L43" i="13"/>
  <c r="L42" i="13"/>
  <c r="L41" i="13"/>
  <c r="L40" i="13"/>
  <c r="L39" i="13"/>
  <c r="L38" i="13"/>
  <c r="L37" i="13"/>
  <c r="L36" i="13"/>
  <c r="L35" i="13"/>
  <c r="L34" i="13"/>
  <c r="L33" i="13"/>
  <c r="L32" i="13"/>
  <c r="L31" i="13"/>
  <c r="L30" i="13"/>
  <c r="L29" i="13"/>
  <c r="L28" i="13"/>
  <c r="L27" i="13"/>
  <c r="L26" i="13"/>
  <c r="L25" i="13"/>
  <c r="L24" i="13"/>
  <c r="L23" i="13"/>
  <c r="L22" i="13"/>
  <c r="L21" i="13"/>
  <c r="L20" i="13"/>
  <c r="L19" i="13"/>
  <c r="L18" i="13"/>
  <c r="L17" i="13"/>
  <c r="L16" i="13"/>
  <c r="L15" i="13"/>
  <c r="L14" i="13"/>
  <c r="L13" i="13"/>
  <c r="L12" i="13"/>
  <c r="L11" i="13"/>
  <c r="L10" i="13"/>
  <c r="L9" i="13"/>
  <c r="L8" i="13"/>
  <c r="L240" i="13"/>
  <c r="L236" i="13"/>
  <c r="K221" i="13"/>
  <c r="K65" i="13" l="1"/>
  <c r="K117" i="13"/>
  <c r="K13" i="13"/>
  <c r="K177" i="13"/>
  <c r="K197" i="13"/>
  <c r="K217" i="13"/>
  <c r="K21" i="13"/>
  <c r="K77" i="13"/>
  <c r="K105" i="13"/>
  <c r="K129" i="13"/>
  <c r="K14" i="13"/>
  <c r="K22" i="13"/>
  <c r="K41" i="13"/>
  <c r="K57" i="13"/>
  <c r="K69" i="13"/>
  <c r="K93" i="13"/>
  <c r="K109" i="13"/>
  <c r="K141" i="13"/>
  <c r="K153" i="13"/>
  <c r="K189" i="13"/>
  <c r="K209" i="13"/>
  <c r="K230" i="13"/>
  <c r="K228" i="13"/>
  <c r="K224" i="13"/>
  <c r="K220" i="13"/>
  <c r="K216" i="13"/>
  <c r="K212" i="13"/>
  <c r="K208" i="13"/>
  <c r="K204" i="13"/>
  <c r="K196" i="13"/>
  <c r="K192" i="13"/>
  <c r="K184" i="13"/>
  <c r="K180" i="13"/>
  <c r="K176" i="13"/>
  <c r="K172" i="13"/>
  <c r="K168" i="13"/>
  <c r="K164" i="13"/>
  <c r="K160" i="13"/>
  <c r="K156" i="13"/>
  <c r="K152" i="13"/>
  <c r="K144" i="13"/>
  <c r="K140" i="13"/>
  <c r="K136" i="13"/>
  <c r="K132" i="13"/>
  <c r="K128" i="13"/>
  <c r="K124" i="13"/>
  <c r="K116" i="13"/>
  <c r="K112" i="13"/>
  <c r="K108" i="13"/>
  <c r="K104" i="13"/>
  <c r="K100" i="13"/>
  <c r="K96" i="13"/>
  <c r="K92" i="13"/>
  <c r="K88" i="13"/>
  <c r="K84" i="13"/>
  <c r="K80" i="13"/>
  <c r="K76" i="13"/>
  <c r="K72" i="13"/>
  <c r="K68" i="13"/>
  <c r="K64" i="13"/>
  <c r="K60" i="13"/>
  <c r="K56" i="13"/>
  <c r="K52" i="13"/>
  <c r="K48" i="13"/>
  <c r="K44" i="13"/>
  <c r="K40" i="13"/>
  <c r="K36" i="13"/>
  <c r="K32" i="13"/>
  <c r="K28" i="13"/>
  <c r="K24" i="13"/>
  <c r="K20" i="13"/>
  <c r="K16" i="13"/>
  <c r="K12" i="13"/>
  <c r="K143" i="13"/>
  <c r="K115" i="13"/>
  <c r="K107" i="13"/>
  <c r="K99" i="13"/>
  <c r="K83" i="13"/>
  <c r="K79" i="13"/>
  <c r="K71" i="13"/>
  <c r="K55" i="13"/>
  <c r="K51" i="13"/>
  <c r="K43" i="13"/>
  <c r="K31" i="13"/>
  <c r="K23" i="13"/>
  <c r="K15" i="13"/>
  <c r="K226" i="13"/>
  <c r="K198" i="13"/>
  <c r="K190" i="13"/>
  <c r="K182" i="13"/>
  <c r="K170" i="13"/>
  <c r="K162" i="13"/>
  <c r="K154" i="13"/>
  <c r="K150" i="13"/>
  <c r="K142" i="13"/>
  <c r="K134" i="13"/>
  <c r="K126" i="13"/>
  <c r="K118" i="13"/>
  <c r="K114" i="13"/>
  <c r="K102" i="13"/>
  <c r="K94" i="13"/>
  <c r="K90" i="13"/>
  <c r="K78" i="13"/>
  <c r="K62" i="13"/>
  <c r="K54" i="13"/>
  <c r="K46" i="13"/>
  <c r="K38" i="13"/>
  <c r="K227" i="13"/>
  <c r="K219" i="13"/>
  <c r="K211" i="13"/>
  <c r="K207" i="13"/>
  <c r="K203" i="13"/>
  <c r="K199" i="13"/>
  <c r="K191" i="13"/>
  <c r="K187" i="13"/>
  <c r="K183" i="13"/>
  <c r="K179" i="13"/>
  <c r="K175" i="13"/>
  <c r="K171" i="13"/>
  <c r="K167" i="13"/>
  <c r="K163" i="13"/>
  <c r="K159" i="13"/>
  <c r="K155" i="13"/>
  <c r="K151" i="13"/>
  <c r="K147" i="13"/>
  <c r="K135" i="13"/>
  <c r="K131" i="13"/>
  <c r="K127" i="13"/>
  <c r="K123" i="13"/>
  <c r="K119" i="13"/>
  <c r="K111" i="13"/>
  <c r="K103" i="13"/>
  <c r="K95" i="13"/>
  <c r="K87" i="13"/>
  <c r="K75" i="13"/>
  <c r="K67" i="13"/>
  <c r="K59" i="13"/>
  <c r="K47" i="13"/>
  <c r="K35" i="13"/>
  <c r="K27" i="13"/>
  <c r="K19" i="13"/>
  <c r="K11" i="13"/>
  <c r="K222" i="13"/>
  <c r="K218" i="13"/>
  <c r="K214" i="13"/>
  <c r="K210" i="13"/>
  <c r="K202" i="13"/>
  <c r="K194" i="13"/>
  <c r="K186" i="13"/>
  <c r="K174" i="13"/>
  <c r="K158" i="13"/>
  <c r="K146" i="13"/>
  <c r="K138" i="13"/>
  <c r="K122" i="13"/>
  <c r="K106" i="13"/>
  <c r="K98" i="13"/>
  <c r="K86" i="13"/>
  <c r="K82" i="13"/>
  <c r="K74" i="13"/>
  <c r="K66" i="13"/>
  <c r="K58" i="13"/>
  <c r="K50" i="13"/>
  <c r="K42" i="13"/>
  <c r="K34" i="13"/>
  <c r="K9" i="13"/>
  <c r="K17" i="13"/>
  <c r="K25" i="13"/>
  <c r="K33" i="13"/>
  <c r="K45" i="13"/>
  <c r="K61" i="13"/>
  <c r="K85" i="13"/>
  <c r="K97" i="13"/>
  <c r="K121" i="13"/>
  <c r="K133" i="13"/>
  <c r="K145" i="13"/>
  <c r="K157" i="13"/>
  <c r="K169" i="13"/>
  <c r="K181" i="13"/>
  <c r="K193" i="13"/>
  <c r="K201" i="13"/>
  <c r="K213" i="13"/>
  <c r="K10" i="13"/>
  <c r="K18" i="13"/>
  <c r="K26" i="13"/>
  <c r="K37" i="13"/>
  <c r="K49" i="13"/>
  <c r="K73" i="13"/>
  <c r="K89" i="13"/>
  <c r="K113" i="13"/>
  <c r="K125" i="13"/>
  <c r="K137" i="13"/>
  <c r="K161" i="13"/>
  <c r="K173" i="13"/>
  <c r="K185" i="13"/>
  <c r="K205" i="13"/>
  <c r="K225" i="13"/>
  <c r="J5" i="13" l="1"/>
  <c r="I223" i="13"/>
  <c r="I215" i="13"/>
  <c r="I206" i="13"/>
  <c r="I200" i="13"/>
  <c r="I195" i="13"/>
  <c r="I188" i="13"/>
  <c r="I178" i="13"/>
  <c r="I166" i="13"/>
  <c r="I148" i="13"/>
  <c r="I139" i="13"/>
  <c r="I130" i="13"/>
  <c r="I120" i="13"/>
  <c r="I110" i="13"/>
  <c r="I101" i="13"/>
  <c r="I91" i="13"/>
  <c r="I81" i="13"/>
  <c r="I70" i="13"/>
  <c r="I63" i="13"/>
  <c r="I53" i="13"/>
  <c r="I39" i="13"/>
  <c r="I30" i="13"/>
  <c r="I8" i="13"/>
  <c r="J235" i="13"/>
  <c r="J234" i="13"/>
  <c r="J233" i="13"/>
  <c r="J232" i="13"/>
  <c r="J231" i="13"/>
  <c r="J230" i="13"/>
  <c r="J229" i="13"/>
  <c r="J228" i="13"/>
  <c r="J227" i="13"/>
  <c r="J226" i="13"/>
  <c r="J225" i="13"/>
  <c r="J224" i="13"/>
  <c r="J223" i="13"/>
  <c r="J222" i="13"/>
  <c r="J221" i="13"/>
  <c r="J220" i="13"/>
  <c r="J219" i="13"/>
  <c r="J218" i="13"/>
  <c r="J217" i="13"/>
  <c r="J216" i="13"/>
  <c r="J215" i="13"/>
  <c r="J214" i="13"/>
  <c r="J213" i="13"/>
  <c r="J212" i="13"/>
  <c r="J211" i="13"/>
  <c r="J210" i="13"/>
  <c r="J209" i="13"/>
  <c r="J208" i="13"/>
  <c r="J207" i="13"/>
  <c r="J206" i="13"/>
  <c r="J205" i="13"/>
  <c r="J204" i="13"/>
  <c r="J203" i="13"/>
  <c r="J202" i="13"/>
  <c r="J201" i="13"/>
  <c r="J200" i="13"/>
  <c r="J199" i="13"/>
  <c r="J198" i="13"/>
  <c r="J197" i="13"/>
  <c r="J196" i="13"/>
  <c r="J195" i="13"/>
  <c r="J194" i="13"/>
  <c r="J193" i="13"/>
  <c r="J192" i="13"/>
  <c r="J191" i="13"/>
  <c r="J190" i="13"/>
  <c r="J189" i="13"/>
  <c r="J188" i="13"/>
  <c r="J187" i="13"/>
  <c r="J186" i="13"/>
  <c r="J185" i="13"/>
  <c r="J184" i="13"/>
  <c r="J183" i="13"/>
  <c r="J182" i="13"/>
  <c r="J181" i="13"/>
  <c r="J180" i="13"/>
  <c r="J179" i="13"/>
  <c r="J178" i="13"/>
  <c r="J177" i="13"/>
  <c r="J176" i="13"/>
  <c r="J175" i="13"/>
  <c r="J174" i="13"/>
  <c r="J173" i="13"/>
  <c r="J172" i="13"/>
  <c r="J171" i="13"/>
  <c r="J170" i="13"/>
  <c r="J169" i="13"/>
  <c r="J168" i="13"/>
  <c r="J167" i="13"/>
  <c r="J166" i="13"/>
  <c r="J165" i="13"/>
  <c r="J164" i="13"/>
  <c r="J163" i="13"/>
  <c r="J162" i="13"/>
  <c r="J161" i="13"/>
  <c r="J160" i="13"/>
  <c r="J159" i="13"/>
  <c r="J158" i="13"/>
  <c r="J157" i="13"/>
  <c r="J156" i="13"/>
  <c r="J155" i="13"/>
  <c r="J154" i="13"/>
  <c r="J153" i="13"/>
  <c r="J152" i="13"/>
  <c r="J151" i="13"/>
  <c r="J150" i="13"/>
  <c r="J149" i="13"/>
  <c r="J148" i="13"/>
  <c r="J147" i="13"/>
  <c r="J146" i="13"/>
  <c r="J145" i="13"/>
  <c r="J144" i="13"/>
  <c r="J143" i="13"/>
  <c r="J142" i="13"/>
  <c r="J141" i="13"/>
  <c r="J140" i="13"/>
  <c r="J139" i="13"/>
  <c r="J138" i="13"/>
  <c r="J137" i="13"/>
  <c r="J136" i="13"/>
  <c r="J135" i="13"/>
  <c r="J134" i="13"/>
  <c r="J133" i="13"/>
  <c r="J132" i="13"/>
  <c r="J131" i="13"/>
  <c r="J130" i="13"/>
  <c r="J129" i="13"/>
  <c r="J128" i="13"/>
  <c r="J127" i="13"/>
  <c r="J126" i="13"/>
  <c r="J125" i="13"/>
  <c r="J124" i="13"/>
  <c r="J123" i="13"/>
  <c r="J122" i="13"/>
  <c r="J121" i="13"/>
  <c r="J120" i="13"/>
  <c r="J119" i="13"/>
  <c r="J118" i="13"/>
  <c r="J117" i="13"/>
  <c r="J116" i="13"/>
  <c r="J115" i="13"/>
  <c r="J114" i="13"/>
  <c r="J113" i="13"/>
  <c r="J112" i="13"/>
  <c r="J111" i="13"/>
  <c r="J110" i="13"/>
  <c r="J109" i="13"/>
  <c r="J108" i="13"/>
  <c r="J107" i="13"/>
  <c r="J106" i="13"/>
  <c r="J105" i="13"/>
  <c r="J104" i="13"/>
  <c r="J103" i="13"/>
  <c r="J102" i="13"/>
  <c r="J101" i="13"/>
  <c r="J100" i="13"/>
  <c r="J99" i="13"/>
  <c r="J98" i="13"/>
  <c r="J97" i="13"/>
  <c r="J96" i="13"/>
  <c r="J95"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3" i="13"/>
  <c r="J62" i="13"/>
  <c r="J61" i="13"/>
  <c r="J60"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240" i="13"/>
  <c r="J236" i="13"/>
  <c r="I230" i="13"/>
  <c r="I13" i="13" l="1"/>
  <c r="I21" i="13"/>
  <c r="I29" i="13"/>
  <c r="I37" i="13"/>
  <c r="I45" i="13"/>
  <c r="I61" i="13"/>
  <c r="I69" i="13"/>
  <c r="I77" i="13"/>
  <c r="I85" i="13"/>
  <c r="I93" i="13"/>
  <c r="I109" i="13"/>
  <c r="I117" i="13"/>
  <c r="I125" i="13"/>
  <c r="I133" i="13"/>
  <c r="I141" i="13"/>
  <c r="I149" i="13"/>
  <c r="I157" i="13"/>
  <c r="I165" i="13"/>
  <c r="I173" i="13"/>
  <c r="I181" i="13"/>
  <c r="I189" i="13"/>
  <c r="I197" i="13"/>
  <c r="I205" i="13"/>
  <c r="I213" i="13"/>
  <c r="I225" i="13"/>
  <c r="I10" i="13"/>
  <c r="I14" i="13"/>
  <c r="I18" i="13"/>
  <c r="I22" i="13"/>
  <c r="I26" i="13"/>
  <c r="I34" i="13"/>
  <c r="I38" i="13"/>
  <c r="I42" i="13"/>
  <c r="I46" i="13"/>
  <c r="I50" i="13"/>
  <c r="I54" i="13"/>
  <c r="I58" i="13"/>
  <c r="I62" i="13"/>
  <c r="I66" i="13"/>
  <c r="I74" i="13"/>
  <c r="I78" i="13"/>
  <c r="I82" i="13"/>
  <c r="I86" i="13"/>
  <c r="I90" i="13"/>
  <c r="I94" i="13"/>
  <c r="I98" i="13"/>
  <c r="I102" i="13"/>
  <c r="I106" i="13"/>
  <c r="I114" i="13"/>
  <c r="I118" i="13"/>
  <c r="I122" i="13"/>
  <c r="I126" i="13"/>
  <c r="I134" i="13"/>
  <c r="I138" i="13"/>
  <c r="I142" i="13"/>
  <c r="I146" i="13"/>
  <c r="I150" i="13"/>
  <c r="I154" i="13"/>
  <c r="I158" i="13"/>
  <c r="I162" i="13"/>
  <c r="I170" i="13"/>
  <c r="I174" i="13"/>
  <c r="I182" i="13"/>
  <c r="I186" i="13"/>
  <c r="I190" i="13"/>
  <c r="I194" i="13"/>
  <c r="I198" i="13"/>
  <c r="I202" i="13"/>
  <c r="I210" i="13"/>
  <c r="I214" i="13"/>
  <c r="I218" i="13"/>
  <c r="I222" i="13"/>
  <c r="I226" i="13"/>
  <c r="I9" i="13"/>
  <c r="I17" i="13"/>
  <c r="I25" i="13"/>
  <c r="I33" i="13"/>
  <c r="I41" i="13"/>
  <c r="I49" i="13"/>
  <c r="I57" i="13"/>
  <c r="I65" i="13"/>
  <c r="I73" i="13"/>
  <c r="I89" i="13"/>
  <c r="I97" i="13"/>
  <c r="I105" i="13"/>
  <c r="I113" i="13"/>
  <c r="I121" i="13"/>
  <c r="I129" i="13"/>
  <c r="I137" i="13"/>
  <c r="I145" i="13"/>
  <c r="I153" i="13"/>
  <c r="I161" i="13"/>
  <c r="I169" i="13"/>
  <c r="I177" i="13"/>
  <c r="I185" i="13"/>
  <c r="I193" i="13"/>
  <c r="I201" i="13"/>
  <c r="I209" i="13"/>
  <c r="I217" i="13"/>
  <c r="I221" i="13"/>
  <c r="I11" i="13"/>
  <c r="I15" i="13"/>
  <c r="I19" i="13"/>
  <c r="I23" i="13"/>
  <c r="I27" i="13"/>
  <c r="I31" i="13"/>
  <c r="I35" i="13"/>
  <c r="I43" i="13"/>
  <c r="I47" i="13"/>
  <c r="I51" i="13"/>
  <c r="I55" i="13"/>
  <c r="I59" i="13"/>
  <c r="I67" i="13"/>
  <c r="I71" i="13"/>
  <c r="I75" i="13"/>
  <c r="I79" i="13"/>
  <c r="I83" i="13"/>
  <c r="I87" i="13"/>
  <c r="I95" i="13"/>
  <c r="I99" i="13"/>
  <c r="I103" i="13"/>
  <c r="I107" i="13"/>
  <c r="I111" i="13"/>
  <c r="I115" i="13"/>
  <c r="I119" i="13"/>
  <c r="I123" i="13"/>
  <c r="I127" i="13"/>
  <c r="I131" i="13"/>
  <c r="I135" i="13"/>
  <c r="I143" i="13"/>
  <c r="I147" i="13"/>
  <c r="I151" i="13"/>
  <c r="I155" i="13"/>
  <c r="I159" i="13"/>
  <c r="I163" i="13"/>
  <c r="I167" i="13"/>
  <c r="I171" i="13"/>
  <c r="I175" i="13"/>
  <c r="I179" i="13"/>
  <c r="I183" i="13"/>
  <c r="I187" i="13"/>
  <c r="I191" i="13"/>
  <c r="I199" i="13"/>
  <c r="I203" i="13"/>
  <c r="I207" i="13"/>
  <c r="I211" i="13"/>
  <c r="I219" i="13"/>
  <c r="I227" i="13"/>
  <c r="I12" i="13"/>
  <c r="I16" i="13"/>
  <c r="I20" i="13"/>
  <c r="I24" i="13"/>
  <c r="I28" i="13"/>
  <c r="I32" i="13"/>
  <c r="I36" i="13"/>
  <c r="I40" i="13"/>
  <c r="I44" i="13"/>
  <c r="I48" i="13"/>
  <c r="I52" i="13"/>
  <c r="I56" i="13"/>
  <c r="I60" i="13"/>
  <c r="I64" i="13"/>
  <c r="I68" i="13"/>
  <c r="I72" i="13"/>
  <c r="I76" i="13"/>
  <c r="I80" i="13"/>
  <c r="I84" i="13"/>
  <c r="I88" i="13"/>
  <c r="I92" i="13"/>
  <c r="I96" i="13"/>
  <c r="I100" i="13"/>
  <c r="I104" i="13"/>
  <c r="I108" i="13"/>
  <c r="I112" i="13"/>
  <c r="I116" i="13"/>
  <c r="I124" i="13"/>
  <c r="I128" i="13"/>
  <c r="I132" i="13"/>
  <c r="I136" i="13"/>
  <c r="I140" i="13"/>
  <c r="I144" i="13"/>
  <c r="I152" i="13"/>
  <c r="I156" i="13"/>
  <c r="I160" i="13"/>
  <c r="I164" i="13"/>
  <c r="I168" i="13"/>
  <c r="I172" i="13"/>
  <c r="I176" i="13"/>
  <c r="I180" i="13"/>
  <c r="I184" i="13"/>
  <c r="I192" i="13"/>
  <c r="I196" i="13"/>
  <c r="I204" i="13"/>
  <c r="I208" i="13"/>
  <c r="I212" i="13"/>
  <c r="I216" i="13"/>
  <c r="I220" i="13"/>
  <c r="I224" i="13"/>
  <c r="I228" i="13"/>
  <c r="H5" i="13"/>
  <c r="G230" i="13" s="1"/>
  <c r="G223" i="13"/>
  <c r="G215" i="13"/>
  <c r="G206" i="13"/>
  <c r="G200" i="13"/>
  <c r="G195" i="13"/>
  <c r="G188" i="13"/>
  <c r="G178" i="13"/>
  <c r="G166" i="13"/>
  <c r="G148" i="13"/>
  <c r="G139" i="13"/>
  <c r="G130" i="13"/>
  <c r="G120" i="13"/>
  <c r="G110" i="13"/>
  <c r="G101" i="13"/>
  <c r="G91" i="13"/>
  <c r="G81" i="13"/>
  <c r="G70" i="13"/>
  <c r="G63" i="13"/>
  <c r="G53" i="13"/>
  <c r="G39" i="13"/>
  <c r="G30" i="13"/>
  <c r="G8" i="13"/>
  <c r="H235" i="13"/>
  <c r="H234" i="13"/>
  <c r="H233" i="13"/>
  <c r="H232" i="13"/>
  <c r="H231" i="13"/>
  <c r="H230" i="13"/>
  <c r="H229" i="13"/>
  <c r="H228" i="13"/>
  <c r="H227" i="13"/>
  <c r="H226" i="13"/>
  <c r="H225" i="13"/>
  <c r="H224" i="13"/>
  <c r="H223" i="13"/>
  <c r="H222" i="13"/>
  <c r="H221" i="13"/>
  <c r="H220" i="13"/>
  <c r="H219" i="13"/>
  <c r="H218" i="13"/>
  <c r="H217" i="13"/>
  <c r="H216" i="13"/>
  <c r="H215" i="13"/>
  <c r="H214" i="13"/>
  <c r="H213" i="13"/>
  <c r="H212" i="13"/>
  <c r="H211" i="13"/>
  <c r="H210" i="13"/>
  <c r="H209" i="13"/>
  <c r="H208" i="13"/>
  <c r="H207" i="13"/>
  <c r="H206" i="13"/>
  <c r="H205" i="13"/>
  <c r="H204" i="13"/>
  <c r="H203" i="13"/>
  <c r="H202" i="13"/>
  <c r="H201" i="13"/>
  <c r="H200" i="13"/>
  <c r="H199" i="13"/>
  <c r="H198" i="13"/>
  <c r="H197" i="13"/>
  <c r="H196" i="13"/>
  <c r="H195" i="13"/>
  <c r="H194" i="13"/>
  <c r="H193" i="13"/>
  <c r="H192" i="13"/>
  <c r="H191" i="13"/>
  <c r="H190" i="13"/>
  <c r="H189" i="13"/>
  <c r="H188" i="13"/>
  <c r="H187" i="13"/>
  <c r="H186" i="13"/>
  <c r="H185" i="13"/>
  <c r="H184" i="13"/>
  <c r="H183" i="13"/>
  <c r="H182" i="13"/>
  <c r="H181" i="13"/>
  <c r="H180" i="13"/>
  <c r="H179" i="13"/>
  <c r="H178" i="13"/>
  <c r="H177" i="13"/>
  <c r="H176" i="13"/>
  <c r="H175" i="13"/>
  <c r="H174" i="13"/>
  <c r="H173" i="13"/>
  <c r="H172" i="13"/>
  <c r="H171" i="13"/>
  <c r="H170" i="13"/>
  <c r="H169" i="13"/>
  <c r="H168" i="13"/>
  <c r="H167" i="13"/>
  <c r="H166" i="13"/>
  <c r="H165" i="13"/>
  <c r="H164" i="13"/>
  <c r="H163" i="13"/>
  <c r="H162" i="13"/>
  <c r="H161" i="13"/>
  <c r="H160" i="13"/>
  <c r="H159" i="13"/>
  <c r="H158" i="13"/>
  <c r="H157" i="13"/>
  <c r="H156" i="13"/>
  <c r="H155" i="13"/>
  <c r="H154" i="13"/>
  <c r="H153" i="13"/>
  <c r="H152" i="13"/>
  <c r="H151" i="13"/>
  <c r="H150" i="13"/>
  <c r="H149" i="13"/>
  <c r="H148" i="13"/>
  <c r="H147" i="13"/>
  <c r="H146" i="13"/>
  <c r="H145" i="13"/>
  <c r="H144" i="13"/>
  <c r="H143" i="13"/>
  <c r="H142" i="13"/>
  <c r="H141" i="13"/>
  <c r="H140" i="13"/>
  <c r="H139" i="13"/>
  <c r="H138" i="13"/>
  <c r="H137" i="13"/>
  <c r="H136" i="13"/>
  <c r="H135" i="13"/>
  <c r="H134" i="13"/>
  <c r="H133" i="13"/>
  <c r="H132" i="13"/>
  <c r="H131" i="13"/>
  <c r="H130" i="13"/>
  <c r="H129" i="13"/>
  <c r="H128" i="13"/>
  <c r="H127" i="13"/>
  <c r="H126" i="13"/>
  <c r="H125" i="13"/>
  <c r="H124" i="13"/>
  <c r="H123" i="13"/>
  <c r="H122" i="13"/>
  <c r="H121" i="13"/>
  <c r="H120" i="13"/>
  <c r="H119" i="13"/>
  <c r="H118" i="13"/>
  <c r="H117" i="13"/>
  <c r="H116" i="13"/>
  <c r="H115" i="13"/>
  <c r="H114" i="13"/>
  <c r="H113" i="13"/>
  <c r="H112" i="13"/>
  <c r="H111" i="13"/>
  <c r="H110" i="13"/>
  <c r="H109" i="13"/>
  <c r="H108" i="13"/>
  <c r="H107" i="13"/>
  <c r="H106" i="13"/>
  <c r="H105" i="13"/>
  <c r="H104" i="13"/>
  <c r="H103" i="13"/>
  <c r="H102" i="13"/>
  <c r="H101" i="13"/>
  <c r="H100" i="13"/>
  <c r="H99" i="13"/>
  <c r="H98" i="13"/>
  <c r="H97" i="13"/>
  <c r="H96" i="13"/>
  <c r="H95" i="13"/>
  <c r="H94" i="13"/>
  <c r="H93" i="13"/>
  <c r="H92" i="13"/>
  <c r="H91" i="13"/>
  <c r="H90" i="13"/>
  <c r="H89" i="13"/>
  <c r="H88" i="13"/>
  <c r="H87" i="13"/>
  <c r="H86" i="13"/>
  <c r="H85" i="13"/>
  <c r="H84" i="13"/>
  <c r="H83" i="13"/>
  <c r="H82" i="13"/>
  <c r="H81" i="13"/>
  <c r="H80" i="13"/>
  <c r="H79" i="13"/>
  <c r="H78" i="13"/>
  <c r="H77" i="13"/>
  <c r="H76" i="13"/>
  <c r="H75" i="13"/>
  <c r="H74" i="13"/>
  <c r="H73" i="13"/>
  <c r="H72" i="13"/>
  <c r="H71" i="13"/>
  <c r="H70" i="13"/>
  <c r="H69" i="13"/>
  <c r="H68" i="13"/>
  <c r="H67" i="13"/>
  <c r="H66" i="13"/>
  <c r="H65" i="13"/>
  <c r="H64" i="13"/>
  <c r="H63" i="13"/>
  <c r="H62" i="13"/>
  <c r="H61" i="13"/>
  <c r="H60" i="13"/>
  <c r="H59" i="13"/>
  <c r="H58" i="13"/>
  <c r="H57" i="13"/>
  <c r="H56" i="13"/>
  <c r="H55" i="13"/>
  <c r="H54" i="13"/>
  <c r="H53" i="13"/>
  <c r="H52" i="13"/>
  <c r="H51" i="13"/>
  <c r="H50" i="13"/>
  <c r="H49" i="13"/>
  <c r="H48" i="13"/>
  <c r="H47" i="13"/>
  <c r="H46" i="13"/>
  <c r="H45" i="13"/>
  <c r="H44" i="13"/>
  <c r="H43" i="13"/>
  <c r="H42" i="13"/>
  <c r="H41" i="13"/>
  <c r="H40" i="13"/>
  <c r="H39" i="13"/>
  <c r="H38" i="13"/>
  <c r="H37" i="13"/>
  <c r="H36" i="13"/>
  <c r="H35" i="13"/>
  <c r="H34" i="13"/>
  <c r="H33" i="13"/>
  <c r="H32" i="13"/>
  <c r="H31" i="13"/>
  <c r="H30" i="13"/>
  <c r="H29" i="13"/>
  <c r="H28" i="13"/>
  <c r="H27" i="13"/>
  <c r="H26" i="13"/>
  <c r="H25" i="13"/>
  <c r="H24" i="13"/>
  <c r="H23" i="13"/>
  <c r="H22" i="13"/>
  <c r="H21" i="13"/>
  <c r="H20" i="13"/>
  <c r="H19" i="13"/>
  <c r="H18" i="13"/>
  <c r="H17" i="13"/>
  <c r="H16" i="13"/>
  <c r="H15" i="13"/>
  <c r="H14" i="13"/>
  <c r="H13" i="13"/>
  <c r="H12" i="13"/>
  <c r="H11" i="13"/>
  <c r="H10" i="13"/>
  <c r="H9" i="13"/>
  <c r="H8" i="13"/>
  <c r="H240" i="13"/>
  <c r="H236" i="13"/>
  <c r="G9" i="13" l="1"/>
  <c r="G21" i="13"/>
  <c r="G33" i="13"/>
  <c r="G45" i="13"/>
  <c r="G57" i="13"/>
  <c r="G69" i="13"/>
  <c r="G93" i="13"/>
  <c r="G105" i="13"/>
  <c r="G117" i="13"/>
  <c r="G129" i="13"/>
  <c r="G141" i="13"/>
  <c r="G153" i="13"/>
  <c r="G165" i="13"/>
  <c r="G177" i="13"/>
  <c r="G189" i="13"/>
  <c r="G201" i="13"/>
  <c r="G217" i="13"/>
  <c r="G10" i="13"/>
  <c r="G14" i="13"/>
  <c r="G18" i="13"/>
  <c r="G22" i="13"/>
  <c r="G26" i="13"/>
  <c r="G34" i="13"/>
  <c r="G38" i="13"/>
  <c r="G42" i="13"/>
  <c r="G46" i="13"/>
  <c r="G50" i="13"/>
  <c r="G54" i="13"/>
  <c r="G58" i="13"/>
  <c r="G62" i="13"/>
  <c r="G66" i="13"/>
  <c r="G74" i="13"/>
  <c r="G78" i="13"/>
  <c r="G82" i="13"/>
  <c r="G86" i="13"/>
  <c r="G90" i="13"/>
  <c r="G94" i="13"/>
  <c r="G98" i="13"/>
  <c r="G102" i="13"/>
  <c r="G106" i="13"/>
  <c r="G114" i="13"/>
  <c r="G118" i="13"/>
  <c r="G122" i="13"/>
  <c r="G126" i="13"/>
  <c r="G134" i="13"/>
  <c r="G138" i="13"/>
  <c r="G142" i="13"/>
  <c r="G146" i="13"/>
  <c r="G150" i="13"/>
  <c r="G154" i="13"/>
  <c r="G158" i="13"/>
  <c r="G162" i="13"/>
  <c r="G170" i="13"/>
  <c r="G174" i="13"/>
  <c r="G182" i="13"/>
  <c r="G186" i="13"/>
  <c r="G190" i="13"/>
  <c r="G194" i="13"/>
  <c r="G198" i="13"/>
  <c r="G202" i="13"/>
  <c r="G210" i="13"/>
  <c r="G214" i="13"/>
  <c r="G218" i="13"/>
  <c r="G222" i="13"/>
  <c r="G226" i="13"/>
  <c r="G13" i="13"/>
  <c r="G25" i="13"/>
  <c r="G37" i="13"/>
  <c r="G49" i="13"/>
  <c r="G61" i="13"/>
  <c r="G73" i="13"/>
  <c r="G85" i="13"/>
  <c r="G97" i="13"/>
  <c r="G109" i="13"/>
  <c r="G121" i="13"/>
  <c r="G133" i="13"/>
  <c r="G145" i="13"/>
  <c r="G157" i="13"/>
  <c r="G169" i="13"/>
  <c r="G181" i="13"/>
  <c r="G193" i="13"/>
  <c r="G205" i="13"/>
  <c r="G213" i="13"/>
  <c r="G225" i="13"/>
  <c r="G11" i="13"/>
  <c r="G15" i="13"/>
  <c r="G19" i="13"/>
  <c r="G23" i="13"/>
  <c r="G27" i="13"/>
  <c r="G31" i="13"/>
  <c r="G35" i="13"/>
  <c r="G43" i="13"/>
  <c r="G47" i="13"/>
  <c r="G51" i="13"/>
  <c r="G55" i="13"/>
  <c r="G59" i="13"/>
  <c r="G67" i="13"/>
  <c r="G71" i="13"/>
  <c r="G75" i="13"/>
  <c r="G79" i="13"/>
  <c r="G83" i="13"/>
  <c r="G87" i="13"/>
  <c r="G95" i="13"/>
  <c r="G99" i="13"/>
  <c r="G103" i="13"/>
  <c r="G107" i="13"/>
  <c r="G111" i="13"/>
  <c r="G115" i="13"/>
  <c r="G119" i="13"/>
  <c r="G123" i="13"/>
  <c r="G127" i="13"/>
  <c r="G131" i="13"/>
  <c r="G135" i="13"/>
  <c r="G143" i="13"/>
  <c r="G147" i="13"/>
  <c r="G151" i="13"/>
  <c r="G155" i="13"/>
  <c r="G159" i="13"/>
  <c r="G163" i="13"/>
  <c r="G167" i="13"/>
  <c r="G171" i="13"/>
  <c r="G175" i="13"/>
  <c r="G179" i="13"/>
  <c r="G183" i="13"/>
  <c r="G187" i="13"/>
  <c r="G191" i="13"/>
  <c r="G199" i="13"/>
  <c r="G203" i="13"/>
  <c r="G207" i="13"/>
  <c r="G211" i="13"/>
  <c r="G219" i="13"/>
  <c r="G227" i="13"/>
  <c r="G17" i="13"/>
  <c r="G29" i="13"/>
  <c r="G41" i="13"/>
  <c r="G65" i="13"/>
  <c r="G77" i="13"/>
  <c r="G89" i="13"/>
  <c r="G113" i="13"/>
  <c r="G125" i="13"/>
  <c r="G137" i="13"/>
  <c r="G149" i="13"/>
  <c r="G161" i="13"/>
  <c r="G173" i="13"/>
  <c r="G185" i="13"/>
  <c r="G197" i="13"/>
  <c r="G209" i="13"/>
  <c r="G221" i="13"/>
  <c r="G12" i="13"/>
  <c r="G16" i="13"/>
  <c r="G20" i="13"/>
  <c r="G24" i="13"/>
  <c r="G28" i="13"/>
  <c r="G32" i="13"/>
  <c r="G36" i="13"/>
  <c r="G40" i="13"/>
  <c r="G44" i="13"/>
  <c r="G48" i="13"/>
  <c r="G52" i="13"/>
  <c r="G56" i="13"/>
  <c r="G60" i="13"/>
  <c r="G64" i="13"/>
  <c r="G68" i="13"/>
  <c r="G72" i="13"/>
  <c r="G76" i="13"/>
  <c r="G80" i="13"/>
  <c r="G84" i="13"/>
  <c r="G88" i="13"/>
  <c r="G92" i="13"/>
  <c r="G96" i="13"/>
  <c r="G100" i="13"/>
  <c r="G104" i="13"/>
  <c r="G108" i="13"/>
  <c r="G112" i="13"/>
  <c r="G116" i="13"/>
  <c r="G124" i="13"/>
  <c r="G128" i="13"/>
  <c r="G132" i="13"/>
  <c r="G136" i="13"/>
  <c r="G140" i="13"/>
  <c r="G144" i="13"/>
  <c r="G152" i="13"/>
  <c r="G156" i="13"/>
  <c r="G160" i="13"/>
  <c r="G164" i="13"/>
  <c r="G168" i="13"/>
  <c r="G172" i="13"/>
  <c r="G176" i="13"/>
  <c r="G180" i="13"/>
  <c r="G184" i="13"/>
  <c r="G192" i="13"/>
  <c r="G196" i="13"/>
  <c r="G204" i="13"/>
  <c r="G208" i="13"/>
  <c r="G212" i="13"/>
  <c r="G216" i="13"/>
  <c r="G220" i="13"/>
  <c r="G224" i="13"/>
  <c r="G228" i="13"/>
  <c r="F240" i="13"/>
  <c r="F236" i="13"/>
  <c r="F235" i="13"/>
  <c r="F234" i="13"/>
  <c r="F233" i="13"/>
  <c r="F232" i="13"/>
  <c r="F231" i="13"/>
  <c r="F5" i="13"/>
  <c r="E225" i="13" s="1"/>
  <c r="F228" i="13"/>
  <c r="F227" i="13"/>
  <c r="F226" i="13"/>
  <c r="F225" i="13"/>
  <c r="F224" i="13"/>
  <c r="F223" i="13"/>
  <c r="E223" i="13"/>
  <c r="F222" i="13"/>
  <c r="F221" i="13"/>
  <c r="F220" i="13"/>
  <c r="F219" i="13"/>
  <c r="F218" i="13"/>
  <c r="F217" i="13"/>
  <c r="F216" i="13"/>
  <c r="F215" i="13"/>
  <c r="E215" i="13"/>
  <c r="F214" i="13"/>
  <c r="F213" i="13"/>
  <c r="F212" i="13"/>
  <c r="F211" i="13"/>
  <c r="F210" i="13"/>
  <c r="F209" i="13"/>
  <c r="F208" i="13"/>
  <c r="F207" i="13"/>
  <c r="F206" i="13"/>
  <c r="E206" i="13"/>
  <c r="F205" i="13"/>
  <c r="F204" i="13"/>
  <c r="F203" i="13"/>
  <c r="F202" i="13"/>
  <c r="F201" i="13"/>
  <c r="F200" i="13"/>
  <c r="E200" i="13"/>
  <c r="F199" i="13"/>
  <c r="F198" i="13"/>
  <c r="F197" i="13"/>
  <c r="F196" i="13"/>
  <c r="F195" i="13"/>
  <c r="E195" i="13"/>
  <c r="F194" i="13"/>
  <c r="F193" i="13"/>
  <c r="F192" i="13"/>
  <c r="F191" i="13"/>
  <c r="F190" i="13"/>
  <c r="F189" i="13"/>
  <c r="F188" i="13"/>
  <c r="E188" i="13"/>
  <c r="F187" i="13"/>
  <c r="F186" i="13"/>
  <c r="F185" i="13"/>
  <c r="F184" i="13"/>
  <c r="F183" i="13"/>
  <c r="F182" i="13"/>
  <c r="F181" i="13"/>
  <c r="F180" i="13"/>
  <c r="F179" i="13"/>
  <c r="F178" i="13"/>
  <c r="E178" i="13"/>
  <c r="F177" i="13"/>
  <c r="F176" i="13"/>
  <c r="F175" i="13"/>
  <c r="F174" i="13"/>
  <c r="F173" i="13"/>
  <c r="F172" i="13"/>
  <c r="F171" i="13"/>
  <c r="F170" i="13"/>
  <c r="F169" i="13"/>
  <c r="F168" i="13"/>
  <c r="F167" i="13"/>
  <c r="F166" i="13"/>
  <c r="E166" i="13"/>
  <c r="F165" i="13"/>
  <c r="F164" i="13"/>
  <c r="F163" i="13"/>
  <c r="F162" i="13"/>
  <c r="F161" i="13"/>
  <c r="F160" i="13"/>
  <c r="F159" i="13"/>
  <c r="F158" i="13"/>
  <c r="F157" i="13"/>
  <c r="F156" i="13"/>
  <c r="F155" i="13"/>
  <c r="F154" i="13"/>
  <c r="F153" i="13"/>
  <c r="F152" i="13"/>
  <c r="F151" i="13"/>
  <c r="F150" i="13"/>
  <c r="F149" i="13"/>
  <c r="F148" i="13"/>
  <c r="E148" i="13"/>
  <c r="F147" i="13"/>
  <c r="F146" i="13"/>
  <c r="F145" i="13"/>
  <c r="F144" i="13"/>
  <c r="F143" i="13"/>
  <c r="F142" i="13"/>
  <c r="F141" i="13"/>
  <c r="F140" i="13"/>
  <c r="F139" i="13"/>
  <c r="E139" i="13"/>
  <c r="F138" i="13"/>
  <c r="F137" i="13"/>
  <c r="F136" i="13"/>
  <c r="F135" i="13"/>
  <c r="F134" i="13"/>
  <c r="F133" i="13"/>
  <c r="F132" i="13"/>
  <c r="F131" i="13"/>
  <c r="F130" i="13"/>
  <c r="E130" i="13"/>
  <c r="F129" i="13"/>
  <c r="F128" i="13"/>
  <c r="F127" i="13"/>
  <c r="F126" i="13"/>
  <c r="F125" i="13"/>
  <c r="F124" i="13"/>
  <c r="F123" i="13"/>
  <c r="F122" i="13"/>
  <c r="F121" i="13"/>
  <c r="F120" i="13"/>
  <c r="E120" i="13"/>
  <c r="F119" i="13"/>
  <c r="F118" i="13"/>
  <c r="F117" i="13"/>
  <c r="F116" i="13"/>
  <c r="F115" i="13"/>
  <c r="F114" i="13"/>
  <c r="F113" i="13"/>
  <c r="F112" i="13"/>
  <c r="F111" i="13"/>
  <c r="F110" i="13"/>
  <c r="E110" i="13"/>
  <c r="F109" i="13"/>
  <c r="F108" i="13"/>
  <c r="F107" i="13"/>
  <c r="F106" i="13"/>
  <c r="F105" i="13"/>
  <c r="F104" i="13"/>
  <c r="F103" i="13"/>
  <c r="F102" i="13"/>
  <c r="F101" i="13"/>
  <c r="E101" i="13"/>
  <c r="F100" i="13"/>
  <c r="F99" i="13"/>
  <c r="F98" i="13"/>
  <c r="F97" i="13"/>
  <c r="F96" i="13"/>
  <c r="F95" i="13"/>
  <c r="F94" i="13"/>
  <c r="F93" i="13"/>
  <c r="F92" i="13"/>
  <c r="F91" i="13"/>
  <c r="E91" i="13"/>
  <c r="F90" i="13"/>
  <c r="F89" i="13"/>
  <c r="F88" i="13"/>
  <c r="F87" i="13"/>
  <c r="F86" i="13"/>
  <c r="F85" i="13"/>
  <c r="F84" i="13"/>
  <c r="F83" i="13"/>
  <c r="F82" i="13"/>
  <c r="F81" i="13"/>
  <c r="E81" i="13"/>
  <c r="F80" i="13"/>
  <c r="F79" i="13"/>
  <c r="F78" i="13"/>
  <c r="F77" i="13"/>
  <c r="F76" i="13"/>
  <c r="F75" i="13"/>
  <c r="F74" i="13"/>
  <c r="F73" i="13"/>
  <c r="F72" i="13"/>
  <c r="F71" i="13"/>
  <c r="F70" i="13"/>
  <c r="E70" i="13"/>
  <c r="F69" i="13"/>
  <c r="F68" i="13"/>
  <c r="F67" i="13"/>
  <c r="F66" i="13"/>
  <c r="F65" i="13"/>
  <c r="F64" i="13"/>
  <c r="F63" i="13"/>
  <c r="E63" i="13"/>
  <c r="F62" i="13"/>
  <c r="F61" i="13"/>
  <c r="F60" i="13"/>
  <c r="F59" i="13"/>
  <c r="F58" i="13"/>
  <c r="F57" i="13"/>
  <c r="F56" i="13"/>
  <c r="F55" i="13"/>
  <c r="F54" i="13"/>
  <c r="F53" i="13"/>
  <c r="E53" i="13"/>
  <c r="F52" i="13"/>
  <c r="F51" i="13"/>
  <c r="F50" i="13"/>
  <c r="F49" i="13"/>
  <c r="F48" i="13"/>
  <c r="F47" i="13"/>
  <c r="F46" i="13"/>
  <c r="F45" i="13"/>
  <c r="F44" i="13"/>
  <c r="F43" i="13"/>
  <c r="F42" i="13"/>
  <c r="F41" i="13"/>
  <c r="F40" i="13"/>
  <c r="F39" i="13"/>
  <c r="E39" i="13"/>
  <c r="F38" i="13"/>
  <c r="F37" i="13"/>
  <c r="F36" i="13"/>
  <c r="F35" i="13"/>
  <c r="F34" i="13"/>
  <c r="F33" i="13"/>
  <c r="F32" i="13"/>
  <c r="F31" i="13"/>
  <c r="F30" i="13"/>
  <c r="E30" i="13"/>
  <c r="F29" i="13"/>
  <c r="F28" i="13"/>
  <c r="F27" i="13"/>
  <c r="F26" i="13"/>
  <c r="F25" i="13"/>
  <c r="F24" i="13"/>
  <c r="F23" i="13"/>
  <c r="F22" i="13"/>
  <c r="F21" i="13"/>
  <c r="F20" i="13"/>
  <c r="F19" i="13"/>
  <c r="F18" i="13"/>
  <c r="F17" i="13"/>
  <c r="F16" i="13"/>
  <c r="F15" i="13"/>
  <c r="F14" i="13"/>
  <c r="F13" i="13"/>
  <c r="F12" i="13"/>
  <c r="F11" i="13"/>
  <c r="F10" i="13"/>
  <c r="F9" i="13"/>
  <c r="F8" i="13"/>
  <c r="E8" i="13"/>
  <c r="F230" i="13"/>
  <c r="E83" i="13" l="1"/>
  <c r="E203" i="13"/>
  <c r="E213" i="13"/>
  <c r="E57" i="13"/>
  <c r="E107" i="13"/>
  <c r="E117" i="13"/>
  <c r="E127" i="13"/>
  <c r="E137" i="13"/>
  <c r="E49" i="13"/>
  <c r="E65" i="13"/>
  <c r="E75" i="13"/>
  <c r="E99" i="13"/>
  <c r="E145" i="13"/>
  <c r="E155" i="13"/>
  <c r="E221" i="13"/>
  <c r="E41" i="13"/>
  <c r="E163" i="13"/>
  <c r="E173" i="13"/>
  <c r="E183" i="13"/>
  <c r="E193" i="13"/>
  <c r="E11" i="13"/>
  <c r="E15" i="13"/>
  <c r="E19" i="13"/>
  <c r="E23" i="13"/>
  <c r="E27" i="13"/>
  <c r="E31" i="13"/>
  <c r="E35" i="13"/>
  <c r="E47" i="13"/>
  <c r="E73" i="13"/>
  <c r="E97" i="13"/>
  <c r="E105" i="13"/>
  <c r="E143" i="13"/>
  <c r="E153" i="13"/>
  <c r="E171" i="13"/>
  <c r="E201" i="13"/>
  <c r="E227" i="13"/>
  <c r="E45" i="13"/>
  <c r="E61" i="13"/>
  <c r="E69" i="13"/>
  <c r="E71" i="13"/>
  <c r="E79" i="13"/>
  <c r="E87" i="13"/>
  <c r="E95" i="13"/>
  <c r="E103" i="13"/>
  <c r="E113" i="13"/>
  <c r="E123" i="13"/>
  <c r="E133" i="13"/>
  <c r="E141" i="13"/>
  <c r="E151" i="13"/>
  <c r="E159" i="13"/>
  <c r="E169" i="13"/>
  <c r="E177" i="13"/>
  <c r="E179" i="13"/>
  <c r="E187" i="13"/>
  <c r="E189" i="13"/>
  <c r="E197" i="13"/>
  <c r="E209" i="13"/>
  <c r="E217" i="13"/>
  <c r="E228" i="13"/>
  <c r="E226" i="13"/>
  <c r="E224" i="13"/>
  <c r="E222" i="13"/>
  <c r="E220" i="13"/>
  <c r="E218" i="13"/>
  <c r="E216" i="13"/>
  <c r="E214" i="13"/>
  <c r="E212" i="13"/>
  <c r="E210" i="13"/>
  <c r="E208" i="13"/>
  <c r="E204" i="13"/>
  <c r="E202" i="13"/>
  <c r="E198" i="13"/>
  <c r="E196" i="13"/>
  <c r="E194" i="13"/>
  <c r="E192" i="13"/>
  <c r="E190" i="13"/>
  <c r="E186" i="13"/>
  <c r="E184" i="13"/>
  <c r="E182" i="13"/>
  <c r="E180" i="13"/>
  <c r="E176" i="13"/>
  <c r="E174" i="13"/>
  <c r="E172" i="13"/>
  <c r="E170" i="13"/>
  <c r="E168" i="13"/>
  <c r="E164" i="13"/>
  <c r="E162" i="13"/>
  <c r="E160" i="13"/>
  <c r="E158" i="13"/>
  <c r="E156" i="13"/>
  <c r="E154" i="13"/>
  <c r="E152" i="13"/>
  <c r="E150" i="13"/>
  <c r="E146" i="13"/>
  <c r="E144" i="13"/>
  <c r="E142" i="13"/>
  <c r="E140" i="13"/>
  <c r="E138" i="13"/>
  <c r="E136" i="13"/>
  <c r="E134" i="13"/>
  <c r="E132" i="13"/>
  <c r="E128" i="13"/>
  <c r="E126" i="13"/>
  <c r="E124" i="13"/>
  <c r="E122" i="13"/>
  <c r="E118" i="13"/>
  <c r="E116" i="13"/>
  <c r="E114" i="13"/>
  <c r="E112" i="13"/>
  <c r="E108" i="13"/>
  <c r="E106" i="13"/>
  <c r="E104" i="13"/>
  <c r="E102" i="13"/>
  <c r="E100" i="13"/>
  <c r="E98" i="13"/>
  <c r="E96" i="13"/>
  <c r="E94" i="13"/>
  <c r="E92" i="13"/>
  <c r="E90" i="13"/>
  <c r="E88" i="13"/>
  <c r="E86" i="13"/>
  <c r="E84" i="13"/>
  <c r="E82" i="13"/>
  <c r="E80" i="13"/>
  <c r="E78" i="13"/>
  <c r="E76" i="13"/>
  <c r="E74" i="13"/>
  <c r="E72" i="13"/>
  <c r="E68" i="13"/>
  <c r="E66" i="13"/>
  <c r="E64" i="13"/>
  <c r="E62" i="13"/>
  <c r="E60" i="13"/>
  <c r="E58" i="13"/>
  <c r="E56" i="13"/>
  <c r="E54" i="13"/>
  <c r="E52" i="13"/>
  <c r="E50" i="13"/>
  <c r="E48" i="13"/>
  <c r="E46" i="13"/>
  <c r="E44" i="13"/>
  <c r="E42" i="13"/>
  <c r="E40" i="13"/>
  <c r="E9" i="13"/>
  <c r="E13" i="13"/>
  <c r="E17" i="13"/>
  <c r="E21" i="13"/>
  <c r="E25" i="13"/>
  <c r="E29" i="13"/>
  <c r="E33" i="13"/>
  <c r="E37" i="13"/>
  <c r="E55" i="13"/>
  <c r="E89" i="13"/>
  <c r="E115" i="13"/>
  <c r="E125" i="13"/>
  <c r="E135" i="13"/>
  <c r="E161" i="13"/>
  <c r="E181" i="13"/>
  <c r="E191" i="13"/>
  <c r="E199" i="13"/>
  <c r="E211" i="13"/>
  <c r="E219" i="13"/>
  <c r="E10" i="13"/>
  <c r="E12" i="13"/>
  <c r="E14" i="13"/>
  <c r="E16" i="13"/>
  <c r="E18" i="13"/>
  <c r="E20" i="13"/>
  <c r="E22" i="13"/>
  <c r="E24" i="13"/>
  <c r="E26" i="13"/>
  <c r="E28" i="13"/>
  <c r="E32" i="13"/>
  <c r="E34" i="13"/>
  <c r="E36" i="13"/>
  <c r="E38" i="13"/>
  <c r="E43" i="13"/>
  <c r="E51" i="13"/>
  <c r="E59" i="13"/>
  <c r="E67" i="13"/>
  <c r="E77" i="13"/>
  <c r="E85" i="13"/>
  <c r="E93" i="13"/>
  <c r="E109" i="13"/>
  <c r="E111" i="13"/>
  <c r="E119" i="13"/>
  <c r="E121" i="13"/>
  <c r="E129" i="13"/>
  <c r="E131" i="13"/>
  <c r="E147" i="13"/>
  <c r="E149" i="13"/>
  <c r="E157" i="13"/>
  <c r="E165" i="13"/>
  <c r="E167" i="13"/>
  <c r="E175" i="13"/>
  <c r="E185" i="13"/>
  <c r="E205" i="13"/>
  <c r="E207" i="13"/>
  <c r="C229" i="13" l="1"/>
  <c r="K229" i="13" l="1"/>
  <c r="M229" i="13"/>
  <c r="I229" i="13"/>
  <c r="G229" i="13"/>
  <c r="F229" i="13"/>
  <c r="Q8" i="13" l="1"/>
  <c r="P8" i="13"/>
  <c r="E230" i="13" l="1"/>
  <c r="E229" i="13"/>
  <c r="J39" i="1" l="1"/>
  <c r="I39" i="1"/>
  <c r="H39" i="1"/>
  <c r="G39" i="1"/>
  <c r="F39" i="1"/>
  <c r="E39" i="1"/>
  <c r="J32" i="1"/>
  <c r="I32" i="1"/>
  <c r="H32" i="1"/>
  <c r="G32" i="1"/>
  <c r="F32" i="1"/>
  <c r="E32" i="1"/>
  <c r="T32" i="1"/>
  <c r="T33" i="1"/>
  <c r="T34" i="1"/>
  <c r="T35" i="1"/>
  <c r="T36" i="1"/>
  <c r="T37" i="1"/>
  <c r="T38" i="1"/>
  <c r="T39" i="1"/>
  <c r="T40" i="1"/>
  <c r="AC3" i="1" l="1"/>
  <c r="AB3" i="1"/>
  <c r="AA3" i="1"/>
  <c r="Z3" i="1"/>
  <c r="Y3" i="1"/>
  <c r="X3" i="1"/>
  <c r="E14" i="1"/>
  <c r="E15" i="1"/>
  <c r="E16" i="1"/>
  <c r="E17" i="1"/>
  <c r="E18" i="1"/>
  <c r="E19" i="1"/>
  <c r="E20" i="1"/>
  <c r="E21" i="1"/>
  <c r="E22" i="1"/>
  <c r="E23" i="1"/>
  <c r="E24" i="1"/>
  <c r="E25" i="1"/>
  <c r="E26" i="1"/>
  <c r="E27" i="1"/>
  <c r="E28" i="1"/>
  <c r="E29" i="1"/>
  <c r="E30" i="1"/>
  <c r="E31" i="1"/>
  <c r="T14" i="1"/>
  <c r="T15" i="1"/>
  <c r="T16" i="1"/>
  <c r="T17" i="1"/>
  <c r="T18" i="1"/>
  <c r="T19" i="1"/>
  <c r="T20" i="1"/>
  <c r="T21" i="1"/>
  <c r="T22" i="1"/>
  <c r="T23" i="1"/>
  <c r="T24" i="1"/>
  <c r="T25" i="1"/>
  <c r="T26" i="1"/>
  <c r="T27" i="1"/>
  <c r="T28" i="1"/>
  <c r="T29" i="1"/>
  <c r="T30" i="1"/>
  <c r="T31" i="1"/>
  <c r="G14" i="1"/>
  <c r="G15" i="1"/>
  <c r="G16" i="1"/>
  <c r="G17" i="1"/>
  <c r="G18" i="1"/>
  <c r="G19" i="1"/>
  <c r="G20" i="1"/>
  <c r="G21" i="1"/>
  <c r="G22" i="1"/>
  <c r="G23" i="1"/>
  <c r="G24" i="1"/>
  <c r="G25" i="1"/>
  <c r="G26" i="1"/>
  <c r="G27" i="1"/>
  <c r="G28" i="1"/>
  <c r="G29" i="1"/>
  <c r="G30" i="1"/>
  <c r="G31" i="1"/>
  <c r="W21" i="9"/>
  <c r="D15" i="11" l="1"/>
  <c r="C15" i="11"/>
  <c r="L16" i="4"/>
  <c r="F14" i="1" l="1"/>
  <c r="F15" i="1"/>
  <c r="F16" i="1"/>
  <c r="F17" i="1"/>
  <c r="F18" i="1"/>
  <c r="F19" i="1"/>
  <c r="F20" i="1"/>
  <c r="F21" i="1"/>
  <c r="F22" i="1"/>
  <c r="F23" i="1"/>
  <c r="F24" i="1"/>
  <c r="F25" i="1"/>
  <c r="F26" i="1"/>
  <c r="F27" i="1"/>
  <c r="F28" i="1"/>
  <c r="F29" i="1"/>
  <c r="F30" i="1"/>
  <c r="F31" i="1"/>
  <c r="H14" i="1"/>
  <c r="H15" i="1"/>
  <c r="H16" i="1"/>
  <c r="H17" i="1"/>
  <c r="H18" i="1"/>
  <c r="H19" i="1"/>
  <c r="H20" i="1"/>
  <c r="H21" i="1"/>
  <c r="H22" i="1"/>
  <c r="H23" i="1"/>
  <c r="H24" i="1"/>
  <c r="H25" i="1"/>
  <c r="H26" i="1"/>
  <c r="H27" i="1"/>
  <c r="H28" i="1"/>
  <c r="H29" i="1"/>
  <c r="H30" i="1"/>
  <c r="H31" i="1"/>
  <c r="I14" i="1"/>
  <c r="I15" i="1"/>
  <c r="I16" i="1"/>
  <c r="I17" i="1"/>
  <c r="I18" i="1"/>
  <c r="I19" i="1"/>
  <c r="I20" i="1"/>
  <c r="I21" i="1"/>
  <c r="I22" i="1"/>
  <c r="I23" i="1"/>
  <c r="I24" i="1"/>
  <c r="I25" i="1"/>
  <c r="I26" i="1"/>
  <c r="I27" i="1"/>
  <c r="I28" i="1"/>
  <c r="I29" i="1"/>
  <c r="I30" i="1"/>
  <c r="I31" i="1"/>
  <c r="J14" i="1"/>
  <c r="J15" i="1"/>
  <c r="J16" i="1"/>
  <c r="J17" i="1"/>
  <c r="J18" i="1"/>
  <c r="J19" i="1"/>
  <c r="J20" i="1"/>
  <c r="J21" i="1"/>
  <c r="J22" i="1"/>
  <c r="J23" i="1"/>
  <c r="J24" i="1"/>
  <c r="J25" i="1"/>
  <c r="J26" i="1"/>
  <c r="J27" i="1"/>
  <c r="J28" i="1"/>
  <c r="J29" i="1"/>
  <c r="J30" i="1"/>
  <c r="J31" i="1"/>
  <c r="G16" i="4" l="1"/>
  <c r="H16" i="4"/>
  <c r="I16" i="4"/>
  <c r="J16" i="4"/>
  <c r="K16" i="4"/>
  <c r="F16"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Kavitha Buradagunta</author>
    <author>Jawad Ali</author>
  </authors>
  <commentList>
    <comment ref="C3" authorId="0" shapeId="0" xr:uid="{A1D80C8C-3DB9-41AA-8F28-D066B80D2A07}">
      <text>
        <r>
          <rPr>
            <b/>
            <sz val="9"/>
            <color indexed="81"/>
            <rFont val="Tahoma"/>
            <family val="2"/>
          </rPr>
          <t xml:space="preserve">First 10 KPIs are mandatory and to be configured in Katapult. If it is not applied, provide justification in last column </t>
        </r>
        <r>
          <rPr>
            <sz val="9"/>
            <color indexed="81"/>
            <rFont val="Tahoma"/>
            <family val="2"/>
          </rPr>
          <t xml:space="preserve">
</t>
        </r>
      </text>
    </comment>
    <comment ref="O3" authorId="0" shapeId="0" xr:uid="{06719D52-FBE8-4937-B21D-4035243EC223}">
      <text>
        <r>
          <rPr>
            <sz val="9"/>
            <color indexed="81"/>
            <rFont val="Work Sans"/>
            <scheme val="minor"/>
          </rPr>
          <t>Only approved exception ID shall be provided
if katapult is not feasible provide same exception ID to all KPIs</t>
        </r>
        <r>
          <rPr>
            <sz val="9"/>
            <color indexed="81"/>
            <rFont val="Tahoma"/>
            <family val="2"/>
          </rPr>
          <t xml:space="preserve">
</t>
        </r>
      </text>
    </comment>
    <comment ref="U3" authorId="1" shapeId="0" xr:uid="{24DBB3ED-BCE7-4FEC-A6E5-0480EFF459E8}">
      <text>
        <r>
          <rPr>
            <b/>
            <sz val="9"/>
            <color indexed="81"/>
            <rFont val="Tahoma"/>
            <family val="2"/>
          </rPr>
          <t>For Example:
ERM, QBR, Etc.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Jawad Ali</author>
  </authors>
  <commentList>
    <comment ref="L3" authorId="0" shapeId="0" xr:uid="{00000000-0006-0000-0100-000001000000}">
      <text>
        <r>
          <rPr>
            <b/>
            <sz val="14"/>
            <color indexed="81"/>
            <rFont val="Tahoma"/>
            <family val="2"/>
          </rPr>
          <t xml:space="preserve">Provide goal tolerance (variance limits/range). 
</t>
        </r>
        <r>
          <rPr>
            <sz val="14"/>
            <color indexed="81"/>
            <rFont val="Tahoma"/>
            <family val="2"/>
          </rPr>
          <t>Range direction +/- is determined based on metric classification.</t>
        </r>
      </text>
    </comment>
    <comment ref="R3" authorId="0" shapeId="0" xr:uid="{00000000-0006-0000-0100-000002000000}">
      <text>
        <r>
          <rPr>
            <b/>
            <sz val="9"/>
            <color indexed="81"/>
            <rFont val="Tahoma"/>
            <family val="2"/>
          </rPr>
          <t>For Example:
ERM, QBR,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Jawad Ali</author>
  </authors>
  <commentList>
    <comment ref="L5" authorId="0" shapeId="0" xr:uid="{00000000-0006-0000-0200-000001000000}">
      <text>
        <r>
          <rPr>
            <sz val="9"/>
            <color indexed="81"/>
            <rFont val="Work Sans"/>
            <scheme val="major"/>
          </rPr>
          <t>Add more columns, as needed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Jawad Ali</author>
  </authors>
  <commentList>
    <comment ref="D16" authorId="0" shapeId="0" xr:uid="{00000000-0006-0000-0500-000001000000}">
      <text>
        <r>
          <rPr>
            <b/>
            <sz val="9"/>
            <color indexed="81"/>
            <rFont val="Tahoma"/>
            <family val="2"/>
          </rPr>
          <t>Include:
- Coding Standards
- Build &amp; Debugging
- Code Optimization</t>
        </r>
      </text>
    </comment>
    <comment ref="D76" authorId="0" shapeId="0" xr:uid="{00000000-0006-0000-0500-000002000000}">
      <text>
        <r>
          <rPr>
            <b/>
            <sz val="9"/>
            <color indexed="81"/>
            <rFont val="Tahoma"/>
            <family val="2"/>
          </rPr>
          <t>Jawad Ali:</t>
        </r>
        <r>
          <rPr>
            <sz val="9"/>
            <color indexed="81"/>
            <rFont val="Tahoma"/>
            <family val="2"/>
          </rPr>
          <t xml:space="preserve">
An attitude that demonstrates Motivated/self driven, go getter, persverence, patience</t>
        </r>
      </text>
    </comment>
    <comment ref="D80" authorId="0" shapeId="0" xr:uid="{00000000-0006-0000-0500-000003000000}">
      <text>
        <r>
          <rPr>
            <b/>
            <sz val="9"/>
            <color indexed="81"/>
            <rFont val="Tahoma"/>
            <family val="2"/>
          </rPr>
          <t>Includes,
MAAB Guidelines
MISRA Guidelines</t>
        </r>
      </text>
    </comment>
  </commentList>
</comments>
</file>

<file path=xl/sharedStrings.xml><?xml version="1.0" encoding="utf-8"?>
<sst xmlns="http://schemas.openxmlformats.org/spreadsheetml/2006/main" count="2673" uniqueCount="961">
  <si>
    <t>#</t>
  </si>
  <si>
    <t>Skill Needs</t>
  </si>
  <si>
    <t>Developer</t>
  </si>
  <si>
    <t>Tester</t>
  </si>
  <si>
    <t>SME</t>
  </si>
  <si>
    <t>Project Manager</t>
  </si>
  <si>
    <t>Program Manager</t>
  </si>
  <si>
    <t>Skill Group</t>
  </si>
  <si>
    <t>Skill Name</t>
  </si>
  <si>
    <t>Primary</t>
  </si>
  <si>
    <t>Software Development</t>
  </si>
  <si>
    <t>Embedded C</t>
  </si>
  <si>
    <t>Microcontrollers</t>
  </si>
  <si>
    <t>Multicore Processors</t>
  </si>
  <si>
    <t>Testing</t>
  </si>
  <si>
    <t>Knowledge of Testing Life Cycle</t>
  </si>
  <si>
    <t>Process &amp; Quality</t>
  </si>
  <si>
    <t>Automotive SPICE</t>
  </si>
  <si>
    <t>Knowledge of SDLC</t>
  </si>
  <si>
    <t>MS Office (Word/Excel/PPT/etc.)</t>
  </si>
  <si>
    <t>Basic SDPM</t>
  </si>
  <si>
    <t>Advanced SDPM</t>
  </si>
  <si>
    <t>KPIT Tools (UniPro/DRONA/KAP/CBA/etc.)</t>
  </si>
  <si>
    <t>Product Reviews &amp; Inspections (Screen)</t>
  </si>
  <si>
    <t>Conf. Mgmt &amp; Version Control Using tools like SVN, GIT, RTC, etc.</t>
  </si>
  <si>
    <t>Process Audits</t>
  </si>
  <si>
    <t>ISO SQuARE</t>
  </si>
  <si>
    <t xml:space="preserve">Process Compliance &amp; Consultancy </t>
  </si>
  <si>
    <t>Process Authoring</t>
  </si>
  <si>
    <t>Process Authoring Tools (EPF/HTML/Sharepoint/etc.)</t>
  </si>
  <si>
    <t>Project Planning &amp; Tracking</t>
  </si>
  <si>
    <t>Size &amp; Effort Estimation</t>
  </si>
  <si>
    <t>Wide Band Delphi Estimation Process</t>
  </si>
  <si>
    <t>Task Planning &amp; Tracking</t>
  </si>
  <si>
    <t>Project's Process Definition</t>
  </si>
  <si>
    <t xml:space="preserve">EPMN </t>
  </si>
  <si>
    <t>Integrated Project Planning</t>
  </si>
  <si>
    <t>Risk Management</t>
  </si>
  <si>
    <t>Microsoft Project</t>
  </si>
  <si>
    <t>ALM Tools (KAP-Redmine/JIRA/RTC/Etc.)</t>
  </si>
  <si>
    <t>Professional Skills</t>
  </si>
  <si>
    <t>Oral &amp; Written Communication</t>
  </si>
  <si>
    <t>Interpersonal</t>
  </si>
  <si>
    <t>Conflict Resolution</t>
  </si>
  <si>
    <t>Analytical Ability</t>
  </si>
  <si>
    <t xml:space="preserve">MATLAB® Simulink® </t>
  </si>
  <si>
    <t>MATLAB® M-Scripts</t>
  </si>
  <si>
    <t xml:space="preserve">Auto Code Generation using RTW®/TargetLink® </t>
  </si>
  <si>
    <t>MIL, SIL Testing</t>
  </si>
  <si>
    <t>HIL Testing</t>
  </si>
  <si>
    <t>Systems Engineering</t>
  </si>
  <si>
    <t>Knowledge of Systems Life Cycle</t>
  </si>
  <si>
    <t>Requirements Elicitation</t>
  </si>
  <si>
    <t>Functional Analysis/Requirements Analysis</t>
  </si>
  <si>
    <t>System Architecture &amp; Design</t>
  </si>
  <si>
    <t>ISO 15288 /INCOSE SE Handbook</t>
  </si>
  <si>
    <t>Safety &amp; Security</t>
  </si>
  <si>
    <t>Knowledge of Safety Life Cycle</t>
  </si>
  <si>
    <t>Safety/Security Planning</t>
  </si>
  <si>
    <t>Item Definition</t>
  </si>
  <si>
    <t>System Risk Assessment</t>
  </si>
  <si>
    <t xml:space="preserve">Safety Analysis &amp; Requirements </t>
  </si>
  <si>
    <t>Security Analysis &amp; Requirements</t>
  </si>
  <si>
    <t>FMEA/FTA</t>
  </si>
  <si>
    <t>Safety Validation</t>
  </si>
  <si>
    <t>PEN Testing</t>
  </si>
  <si>
    <t>Leadership</t>
  </si>
  <si>
    <t>Account Management</t>
  </si>
  <si>
    <t>Technology Scanning(Scouting)</t>
  </si>
  <si>
    <t>Team Management &amp; Mentoring</t>
  </si>
  <si>
    <t>Customer Management</t>
  </si>
  <si>
    <t>Cost Management (Forecasting, Planning, etc.)</t>
  </si>
  <si>
    <t>Technology Management (Forecasting, Planning, etc.)</t>
  </si>
  <si>
    <t>New Business Generation</t>
  </si>
  <si>
    <t>Succesion Planning</t>
  </si>
  <si>
    <t>Specialization</t>
  </si>
  <si>
    <t>NOS/AUTOSAR</t>
  </si>
  <si>
    <t>Knowledge of AUTOSAR/NOS</t>
  </si>
  <si>
    <t>Driver &amp; Low Level Software Development</t>
  </si>
  <si>
    <t>Operating Systems Development, RTOS/AUTOSAR OS/Linux/Etc.</t>
  </si>
  <si>
    <t>Communcation SW Development (CAN/LIN/Ethernet/Flexray/etc.)</t>
  </si>
  <si>
    <t>Network Layers SW Development (OSI)</t>
  </si>
  <si>
    <t>Diagnostics SW Development</t>
  </si>
  <si>
    <t>KPIT AUTOSAR Tool Chain</t>
  </si>
  <si>
    <t>PT</t>
  </si>
  <si>
    <t>ePT</t>
  </si>
  <si>
    <t>Knowledge of Electrification Functions</t>
  </si>
  <si>
    <t>Battery Management</t>
  </si>
  <si>
    <t>Motors (AC/DC)</t>
  </si>
  <si>
    <t>AD</t>
  </si>
  <si>
    <t>Image Processing</t>
  </si>
  <si>
    <t>RADAR/LIDAR SW Development</t>
  </si>
  <si>
    <t>Camera SW Development</t>
  </si>
  <si>
    <t>Connected Vehicle</t>
  </si>
  <si>
    <t>Tools/Database Development</t>
  </si>
  <si>
    <t>Programming Language (Java/C#.NET/VB.NET/Etc.)</t>
  </si>
  <si>
    <t>RDBMS (Oracle/MS-SQL/MySQL/etc.)</t>
  </si>
  <si>
    <t>DevOps Developments (Jenkins/etc.)</t>
  </si>
  <si>
    <t>UI Development &amp; UX</t>
  </si>
  <si>
    <t>ALM Installation &amp; Configuration (Redmine/RTC/JIRA/Etc.)</t>
  </si>
  <si>
    <t>Vehicle Systems</t>
  </si>
  <si>
    <t>Roles</t>
  </si>
  <si>
    <t>COST</t>
  </si>
  <si>
    <t>Productivity</t>
  </si>
  <si>
    <t>Formula</t>
  </si>
  <si>
    <t>Measurable Entity</t>
  </si>
  <si>
    <t>UOM</t>
  </si>
  <si>
    <t>Lag</t>
  </si>
  <si>
    <t>MATLAB productivity</t>
  </si>
  <si>
    <t>Pearl Productivity</t>
  </si>
  <si>
    <t>Python Productivity</t>
  </si>
  <si>
    <t>C++ Productivity</t>
  </si>
  <si>
    <t>Java Productivity</t>
  </si>
  <si>
    <t>VB.NET/C#.NET Productivity</t>
  </si>
  <si>
    <t>TC Development Productivity</t>
  </si>
  <si>
    <t>TC developed/PD</t>
  </si>
  <si>
    <t>TC Execution Productivity</t>
  </si>
  <si>
    <t>TC executed/PD</t>
  </si>
  <si>
    <t>Testing Productivity</t>
  </si>
  <si>
    <t>Total TC Developed &amp; Executed/Actual Effort in PD</t>
  </si>
  <si>
    <t>Velocity</t>
  </si>
  <si>
    <t>Actual delivered Story Points/Sprint</t>
  </si>
  <si>
    <t>Capacity</t>
  </si>
  <si>
    <t>Planned Story points/Sprint</t>
  </si>
  <si>
    <t>Lead</t>
  </si>
  <si>
    <t>Size Variance</t>
  </si>
  <si>
    <t>Effort Variance</t>
  </si>
  <si>
    <t>Resource Utilization</t>
  </si>
  <si>
    <t>Resource Utilization Percentage</t>
  </si>
  <si>
    <t>% FC Effort Realization</t>
  </si>
  <si>
    <t>Cost of Quality &amp; Poor Quality</t>
  </si>
  <si>
    <t>(Rework Effort Phase/Total Project Effort)*100</t>
  </si>
  <si>
    <t>(Rework Effort Total/Total Project Effort)*100</t>
  </si>
  <si>
    <t>(Review Effort Phase/Total Phase Effort)*100</t>
  </si>
  <si>
    <t>(Screen Effort Phase/Total Phase Effort)*100</t>
  </si>
  <si>
    <t>(Testing effort /Total Project Effort)*100</t>
  </si>
  <si>
    <t>% UC Effort</t>
  </si>
  <si>
    <t>% FC Effort</t>
  </si>
  <si>
    <t>(FC Effort/Total Project Effort)*100</t>
  </si>
  <si>
    <t>DELIVERY</t>
  </si>
  <si>
    <t>On Time Delivery</t>
  </si>
  <si>
    <t>(Estimated Effort * % Work Completed)/Actual Effort</t>
  </si>
  <si>
    <t>Schedule Variance</t>
  </si>
  <si>
    <t>Schedule Slippage</t>
  </si>
  <si>
    <t>Customer Satisfaction</t>
  </si>
  <si>
    <t>CSAT Coverage</t>
  </si>
  <si>
    <t>(CSAT Eligible Projects-CSAT Received Project/CSAT Eligible Projects)*100</t>
  </si>
  <si>
    <t>CSAT Rating</t>
  </si>
  <si>
    <t>Turn Around Time</t>
  </si>
  <si>
    <t>QUALITY</t>
  </si>
  <si>
    <t>Zero Defect Delivery</t>
  </si>
  <si>
    <t>Defect Density</t>
  </si>
  <si>
    <t>In-Process Defect Density - Phase</t>
  </si>
  <si>
    <t xml:space="preserve">In-Process Defect Density - Project </t>
  </si>
  <si>
    <t>Escaped Defect Density - Phase</t>
  </si>
  <si>
    <t>Delivered Defect Density - Project</t>
  </si>
  <si>
    <t>Defect Rate</t>
  </si>
  <si>
    <t>In-Process Defect Rate - Phase</t>
  </si>
  <si>
    <t xml:space="preserve">In-Process Defect Rate - Project </t>
  </si>
  <si>
    <t>Escaped Defect Rate - Phase</t>
  </si>
  <si>
    <t>No. of Discontinuities Escaped In Uniphase/Total Effort of the Project</t>
  </si>
  <si>
    <t>Delivered Defect Rate - Project</t>
  </si>
  <si>
    <t>No. of Discontinuities Escaped reported By Customer / Total Effort of the Project</t>
  </si>
  <si>
    <t>Review Effectiveness - Phase</t>
  </si>
  <si>
    <t>Review Effectiveness - Project</t>
  </si>
  <si>
    <t>Screen Effectiveness - Phase</t>
  </si>
  <si>
    <t>Process Compliance</t>
  </si>
  <si>
    <t>Open Red Flags</t>
  </si>
  <si>
    <t>Sum of Open Red Flags</t>
  </si>
  <si>
    <t>QA Findings Per Audit</t>
  </si>
  <si>
    <t>Sum of All QA Findings/No. of Audits</t>
  </si>
  <si>
    <t>ASPICE Assessment Rating</t>
  </si>
  <si>
    <t>NA</t>
  </si>
  <si>
    <t>KPI</t>
  </si>
  <si>
    <t>Metric</t>
  </si>
  <si>
    <t>Application Type</t>
  </si>
  <si>
    <t>Category</t>
  </si>
  <si>
    <t>a</t>
  </si>
  <si>
    <t>b</t>
  </si>
  <si>
    <t>c</t>
  </si>
  <si>
    <t>d</t>
  </si>
  <si>
    <t>% Rework Effort - Phase</t>
  </si>
  <si>
    <t>% Review Effort - Phase</t>
  </si>
  <si>
    <t>% Screen Effort - Phase</t>
  </si>
  <si>
    <t>Percentage</t>
  </si>
  <si>
    <t>% Rework Effort - Project</t>
  </si>
  <si>
    <t>% Testing Effort - Project</t>
  </si>
  <si>
    <t>Effort Variance - Phase</t>
  </si>
  <si>
    <t>Effort Variance - Project</t>
  </si>
  <si>
    <t>Emb. C Productivity</t>
  </si>
  <si>
    <t>Requirements Productivity</t>
  </si>
  <si>
    <t>Size Variance - Phase</t>
  </si>
  <si>
    <t>Size Variance - Project</t>
  </si>
  <si>
    <t>Magnitude - Phase</t>
  </si>
  <si>
    <t>Magnitude - Project</t>
  </si>
  <si>
    <t>Sprint Burndown Magnitude</t>
  </si>
  <si>
    <t>Release Burndown Magnitude</t>
  </si>
  <si>
    <t>Ideal Remaining Story Points in Sprint / Actual Remaining Story Points in Sprint</t>
  </si>
  <si>
    <t>Ideal Remaining Story Points in Release / Actual Remaining Story Points in Release</t>
  </si>
  <si>
    <t>Schedule Slippage - Project</t>
  </si>
  <si>
    <t>Schedule Slippage - Phase</t>
  </si>
  <si>
    <t>Schedule Variance - Phase</t>
  </si>
  <si>
    <t>Schedule Variance - Project</t>
  </si>
  <si>
    <t>Planned Start</t>
  </si>
  <si>
    <t>SP/Sprint</t>
  </si>
  <si>
    <t>Data Type</t>
  </si>
  <si>
    <t>Ratio</t>
  </si>
  <si>
    <t>Continuous</t>
  </si>
  <si>
    <t>TC/PD</t>
  </si>
  <si>
    <t>Req/PD</t>
  </si>
  <si>
    <t>FC Effort Billed/Total FC Effort * 100</t>
  </si>
  <si>
    <t>SLOC/PM</t>
  </si>
  <si>
    <t>ESLOC/PM</t>
  </si>
  <si>
    <t>Number</t>
  </si>
  <si>
    <t>Discrete</t>
  </si>
  <si>
    <t>DF/Size</t>
  </si>
  <si>
    <t>DE/PM</t>
  </si>
  <si>
    <t>DF/PM</t>
  </si>
  <si>
    <t>Hours</t>
  </si>
  <si>
    <t>Billed Effort/Total Available Effort *100</t>
  </si>
  <si>
    <t>McCabe's Cyclomatic Complexity</t>
  </si>
  <si>
    <t>Modularity Index</t>
  </si>
  <si>
    <t>Number of Interactions among modules/Total Number of Modules</t>
  </si>
  <si>
    <t>Edges - Nodes + 2 X Connections</t>
  </si>
  <si>
    <t>Lead/Lag</t>
  </si>
  <si>
    <t>Product</t>
  </si>
  <si>
    <t>Coupling (X,Y)</t>
  </si>
  <si>
    <t>i+ (n/n+1), where n=number of interactions between X &amp; Y</t>
  </si>
  <si>
    <t>Reliability Index</t>
  </si>
  <si>
    <t>1 - (Number of Failed Executions/Total Number Execution Attempts)</t>
  </si>
  <si>
    <t>Goal</t>
  </si>
  <si>
    <t>Metric Classification</t>
  </si>
  <si>
    <t>Larger the Better</t>
  </si>
  <si>
    <t>Smaller the Better</t>
  </si>
  <si>
    <t>Moderate the Best</t>
  </si>
  <si>
    <t>Reporting of Measures/KPI</t>
  </si>
  <si>
    <t>MLR L1</t>
  </si>
  <si>
    <t>MLR L2</t>
  </si>
  <si>
    <t>MLR L3</t>
  </si>
  <si>
    <t>PAR</t>
  </si>
  <si>
    <t>MSR</t>
  </si>
  <si>
    <t>Project KPIs &amp; Metrics</t>
  </si>
  <si>
    <t>Cycle</t>
  </si>
  <si>
    <t>Uniphase</t>
  </si>
  <si>
    <t>WE</t>
  </si>
  <si>
    <t>RE</t>
  </si>
  <si>
    <t>DF</t>
  </si>
  <si>
    <t>DE</t>
  </si>
  <si>
    <t>FC</t>
  </si>
  <si>
    <t>UC</t>
  </si>
  <si>
    <t>Size</t>
  </si>
  <si>
    <t>Project Measures &amp; Estimations</t>
  </si>
  <si>
    <t>Planned End</t>
  </si>
  <si>
    <t xml:space="preserve">Total: </t>
  </si>
  <si>
    <t>&lt;Repeat the section below as needed for the project&gt;</t>
  </si>
  <si>
    <t>&lt;Others&gt;</t>
  </si>
  <si>
    <t>Detailed Estimation</t>
  </si>
  <si>
    <t>Earned Value</t>
  </si>
  <si>
    <t>Continuous Integration using CBA/Katapault/etc</t>
  </si>
  <si>
    <t>Vehicle Testing</t>
  </si>
  <si>
    <t>Control Algorithm Development</t>
  </si>
  <si>
    <t>PIL Testing</t>
  </si>
  <si>
    <t>HIL Setup using dSPACE/NI/etc.</t>
  </si>
  <si>
    <t>System Verification &amp; Validation (Testing)</t>
  </si>
  <si>
    <t>Knowledge of Vehicle Dynamics</t>
  </si>
  <si>
    <t>Electrical Propulsion System</t>
  </si>
  <si>
    <t>Electrical Power Engineering &amp; Power Electronics</t>
  </si>
  <si>
    <t>Vehicle Level Electrical Architecture</t>
  </si>
  <si>
    <t>Charging Systems</t>
  </si>
  <si>
    <t>Knowledge of ePT Standards &amp; Regulations</t>
  </si>
  <si>
    <t>Perception &amp; Localisation</t>
  </si>
  <si>
    <t>Communication Protocols (CAN/LIN/Flexray/Ethernet/etc.) &amp; Tools CANoe/VSPY/Etc.</t>
  </si>
  <si>
    <t>Diagnostic Services &amp; Protocols (UDS)</t>
  </si>
  <si>
    <t xml:space="preserve">Knowledge of Body Functions </t>
  </si>
  <si>
    <t>Low power motor control</t>
  </si>
  <si>
    <t>Communication Switches</t>
  </si>
  <si>
    <t>Applicability</t>
  </si>
  <si>
    <t>Skill Groups</t>
  </si>
  <si>
    <t>Prepared By:</t>
  </si>
  <si>
    <t>KPIT Technologies Ltd.</t>
  </si>
  <si>
    <t>&lt;City&gt;, &lt;Country&gt;</t>
  </si>
  <si>
    <t>CONFIG ID     :</t>
  </si>
  <si>
    <t>&lt;Config ID&gt;</t>
  </si>
  <si>
    <t>VERSION        :</t>
  </si>
  <si>
    <t>&lt;X.Y&gt;</t>
  </si>
  <si>
    <t>DATE             :</t>
  </si>
  <si>
    <t>&lt;DD-MMM-YY&gt;</t>
  </si>
  <si>
    <t>&lt;Company Name&gt;</t>
  </si>
  <si>
    <t>&lt;Department Name&gt;</t>
  </si>
  <si>
    <t>Document Revision History</t>
  </si>
  <si>
    <t>Ver</t>
  </si>
  <si>
    <t>Change Description</t>
  </si>
  <si>
    <t>Approved By</t>
  </si>
  <si>
    <t>Prepared/
Modified By</t>
  </si>
  <si>
    <t>Date of Approval</t>
  </si>
  <si>
    <t>Project Measurement &amp; Resource Plan</t>
  </si>
  <si>
    <t>Knowledge of Chassis Functions</t>
  </si>
  <si>
    <t>Control Systems &amp; MBD</t>
  </si>
  <si>
    <t>Can Do Attitude</t>
  </si>
  <si>
    <t>GPRS &amp; Telematics</t>
  </si>
  <si>
    <t>Lighting</t>
  </si>
  <si>
    <t>Access Control</t>
  </si>
  <si>
    <t>Chassis</t>
  </si>
  <si>
    <t>Agile &amp; Scrum</t>
  </si>
  <si>
    <t>Knowledge of Agile Concepts &amp; Frameworks</t>
  </si>
  <si>
    <t>Agile Product Planning</t>
  </si>
  <si>
    <t>TDD/BDD</t>
  </si>
  <si>
    <t>Evolutionary Design</t>
  </si>
  <si>
    <t xml:space="preserve">Agile Estimation Techniques </t>
  </si>
  <si>
    <t>Scrum Planning &amp; Facilitation</t>
  </si>
  <si>
    <t>Coaching &amp; Mentoring</t>
  </si>
  <si>
    <t>Scrum Master</t>
  </si>
  <si>
    <t>Product Owner</t>
  </si>
  <si>
    <t>Calibration Engineering &amp; Tools Like INCA/VISU/CAMEO/Creta/etc.</t>
  </si>
  <si>
    <t>Knowledge of Powertrain System &amp; Functions</t>
  </si>
  <si>
    <t>Knowledge of Vehicle &amp; PT Dynamics</t>
  </si>
  <si>
    <t>Propulsion System &amp; Engine Control Modules</t>
  </si>
  <si>
    <t>Transmission System &amp; Types</t>
  </si>
  <si>
    <t>PT Sensors &amp; Actuators</t>
  </si>
  <si>
    <t>PT System Troubleshooting</t>
  </si>
  <si>
    <t>Engine Subsystems like (Fuel, Cooling, Air Intake, etc.)</t>
  </si>
  <si>
    <t>After Treatment System &amp; Its Components like (DOC, DPF, SCR, etc.</t>
  </si>
  <si>
    <t>Knowledge of PT Standards &amp; Regulations like (Emission, Noise, Performance, etc.)</t>
  </si>
  <si>
    <t>RAM</t>
  </si>
  <si>
    <t>In Kilo Bytes</t>
  </si>
  <si>
    <t>Kilo Bytes</t>
  </si>
  <si>
    <t>ROM</t>
  </si>
  <si>
    <t>Throughput</t>
  </si>
  <si>
    <t>&lt;Provide Reference from stores(svn/git) or Embedd the filled Direct Estiamtion Form&gt;</t>
  </si>
  <si>
    <t>&lt;Provide Reference from stores(svn/git) or Embedd the filled WBD Estiamtion Form&gt;</t>
  </si>
  <si>
    <t>Project Schedule &amp; Milestones</t>
  </si>
  <si>
    <t xml:space="preserve">Overall : </t>
  </si>
  <si>
    <t>Project Schedule</t>
  </si>
  <si>
    <t>Milestones &amp; Releases</t>
  </si>
  <si>
    <t>Milestone/Release Contents</t>
  </si>
  <si>
    <t>Target Date</t>
  </si>
  <si>
    <t>Release Type</t>
  </si>
  <si>
    <t>Internal Governance</t>
  </si>
  <si>
    <t>External Governance</t>
  </si>
  <si>
    <t>Example</t>
  </si>
  <si>
    <t>SLOC/ Total Project Effort (in Person Month)</t>
  </si>
  <si>
    <t>No of Req/PD</t>
  </si>
  <si>
    <t>No of Requirements = 2000
Total Project Effort = 100 PD
Requirements Productivity = 2000/100 = 20</t>
  </si>
  <si>
    <t>SLOC = 2000
Total Project Effort = 100 PD = 4.54 PM
C++ Productivity = 2000/4.54= 440</t>
  </si>
  <si>
    <t>SLOC = 2000
Total Project Effort = 100 PD = 4.54 PM
Emb. C Productivity = 2000/4.54= 440</t>
  </si>
  <si>
    <t>SLOC = 2000
Total Project Effort = 100 PD = 4.54 PM
Java Productivity = 2000/4.54= 440</t>
  </si>
  <si>
    <t>SLOC = 2000
Total Project Effort = 100 PD = 4.54 PM
MATLAB Productivity = 2000/4.54 = 440</t>
  </si>
  <si>
    <t>SLOC = 2000
Total Project Effort = 100 PD = 4.54 PM
Pearl Productivity = 2000/4.54= 440</t>
  </si>
  <si>
    <t>SLOC = 2000
Total Project Effort = 100 PD = 4.54 PM
Python Productivity = 2000/4.54 = 440</t>
  </si>
  <si>
    <t>No of TC = 1500
TC Development Effort = 100 PD
TC Development Productivity = 1500/100 = 15</t>
  </si>
  <si>
    <t>No of TC = 1500
TC Execution Effort = 20 PD
TC Execution Productivity = 1500/20 = 75</t>
  </si>
  <si>
    <t>No of TC = 1500
Total Testing Effort = 120 PD
Testing Productivity = 1500/20 = 12.5</t>
  </si>
  <si>
    <t>SLOC = 2000
Total Project Effort = 100 PD = 4.54 PM
VB.net/C#.net Productivity = 2000/4.54 = 440</t>
  </si>
  <si>
    <t xml:space="preserve">Rating Scale 1 to 5 </t>
  </si>
  <si>
    <t>Estimated Effort = 50 PD
% Work Completed = 80% = 0.8
Actual Effort = 42
Magnitude = (50 * 0.8)/38 = 0.95</t>
  </si>
  <si>
    <t>Ideal Remaining Story Points = 80
Actual Remaining Story Points = 85
Burndown Magnitude = (80 / 85 ) = 0.94</t>
  </si>
  <si>
    <t>(No. of On Time Deliveries/Total no. of deliveries made)*100</t>
  </si>
  <si>
    <t>(Actual Date of Completion - Planned Date of Completion)/Planned Duration of Phase in Calendar Days * 100</t>
  </si>
  <si>
    <t>(Actual Date of Completion - Planned Date of Completion)/Planned Duration of Project in Calendar Days * 100</t>
  </si>
  <si>
    <t>(Actual calendar days for phase – Planned calendar days for Phase) / Planned calendar days for phase * 100</t>
  </si>
  <si>
    <t>(Actual calendar days – Planned calendar days) / Planned calendar days * 100</t>
  </si>
  <si>
    <t>Planned Duration = 50 Calendar Days
Actual Duration = 52 Calendar Days
Schedule Variance = (52 - 50) / 50 * 100 = 4%</t>
  </si>
  <si>
    <t>Sum of All QA Findings = 5
Number of Audits Performed = 2
QA Findings Per Audit = (5 / 2) = 2.5</t>
  </si>
  <si>
    <t>DE/SLOC</t>
  </si>
  <si>
    <t>No. of Discontinuities Escaped, Reported By Customer / Total Size of the Project in KSLOC</t>
  </si>
  <si>
    <t>DEs reported By Customer = 3
Total Size of Project = 2080 SLOC = 2.1 KSLOC
Delivered Defect Density - Project = (3/2.1) = 1.4</t>
  </si>
  <si>
    <t>No. of Discontinuities Escaped In Uniphase/Total Size of the Phase in KSLOC</t>
  </si>
  <si>
    <t>No. of Review Defects = 5
No. of Screen Defects = 4
Total Size of the Project = 2080 SLOC = 2.1 KLOC
In-Process Defect Density - Project = (5+4)/2.1 = 4.3</t>
  </si>
  <si>
    <t>No. of Review Defects = 5
No. of Screen Defects = 4
Total Size of the Phase = 2080 SLOC = 2.1 KLOC
In-Process Defect Density - Phase = (5+4)/2.1 = 4.3</t>
  </si>
  <si>
    <t>DEs Reported Internally = 2
Total Size of Phase = 2080 SLOC = 2.1 KSLOC
Delivered Defect Density - Phase = (3/2.1) = 0.9</t>
  </si>
  <si>
    <t>DEs reported By Customer = 3
Total Effort of Project = 5.4 PM
Delivered Defect Rate - Project = (3/5.4) = 0.5</t>
  </si>
  <si>
    <t>No. of Review Defects = 5
No. of Screen Defects = 4
Total Size of the Phase = 5.4 PM
In-Process Defect Rate - Project = (5+4)/5.4 = 1.7</t>
  </si>
  <si>
    <t>DEs reported By Customer = 3
Total Effort of Phase = 3.6 PM
Escaped Defect Rate - Phase = (3/5.4) = 0.8</t>
  </si>
  <si>
    <t>No. of Review Defects = 5
No. of Screen Defects = 4
Total Size of the Phase = 3.6 PM
In-Process Defect Rate - Phase = (5+4)/5.4 = 2.5</t>
  </si>
  <si>
    <t>Review Defects In Uniphase /(Discontinuities Escaped+Screen Discontinuities Found+Review Defects) * 100</t>
  </si>
  <si>
    <t>No. of Review Defects = 5
No. of Screen Defects = 4
No. of Discontinuities Escaped from Phase = 3
Review Effectiveness - Phase = 5/(5+4+3) * 100 = 40%</t>
  </si>
  <si>
    <t>No. of Review Defects = 5
No. of Screen Defects = 4
No. of Discontinuities Escaped from Project = 3
Review Effectiveness - Project = 5/(5+4+3) * 100 = 40%</t>
  </si>
  <si>
    <t>No. of Review Defects = 5
No. of Screen Defects = 4
No. of Discontinuities Escaped from Phase = 3
Screen Effectiveness - Phase = 4/(5+4+3) * 100 = 33%</t>
  </si>
  <si>
    <t>Review Defects In Project /(Discontinuities Escaped+Screen Discontinuities Found+Review Defects) * 100</t>
  </si>
  <si>
    <t>Screen Discontinuities Found in Uniphase)/(Discontinuities Escaped+Screen Discontinuities Found) * 100</t>
  </si>
  <si>
    <t>(No. of defect free deliveries/Total no. of deliveries made) * 100</t>
  </si>
  <si>
    <t>No. of Defect Free Deliveries = 8
Total No. of Deliveries = 10
Zero Defect Delivery Percentage = (8 / 10) * 100 = 80%</t>
  </si>
  <si>
    <t>Actual Date of Completion = 25-Sep-2019
Planned Date of Completion = 23-Sep-2019
Planned Duration = 50 Calendar Days
Schedule Slippage = (2 / 50) * 100 = 4%</t>
  </si>
  <si>
    <t>No. of On Time Deliveries = 8
Total No. of Deliveries = 10
On Time Delivery Percentage = (8 / 10) * 100 = 80%</t>
  </si>
  <si>
    <t>No. of CSAT Eligible Projects = 150
No. of CSAT Received = 140
CSAT Coverage = (150 - 140)/150 * 100= 6.7%</t>
  </si>
  <si>
    <t>Planned Size = 2000 SLOC
Actual Size = 2080 SLOC
Size Variance = (2080 - 2000)/2000 * 100 = 4%</t>
  </si>
  <si>
    <t>Total Billed Effort = 120 PD
Total Available Effort = 120 PD
Resource Utilization Percentage = (120/120) * 100 = 100%</t>
  </si>
  <si>
    <t>Total FC Effort = 5 PD
FC Effort Billed = 5 PD
%FC Effort Realization = (5/5) * 100 = 100%</t>
  </si>
  <si>
    <t>Project Planned Effort = 100
Project Actual Effort = 105
Effort Variance - Project = (105-100)/100 * 100=5%</t>
  </si>
  <si>
    <t>Uniphase Planned Effort = 40
Uniphase Actual Effort = 42
Effort Variance - Phase = (42-40)/40 * 100 =5%</t>
  </si>
  <si>
    <t>UC Effort = 5, 
Total Project Effort = 100
%UC Effort = (5/100) * 100 = 5%.</t>
  </si>
  <si>
    <t>Testing Effort = 20
Project Effort = 100
% Testing Effort - Project = (20/100) * 100 = 20%</t>
  </si>
  <si>
    <t>Screen Effort = 3
Uniphase Effort = 40
% Screen Effort - Phase = (3/40) * 100 = 7.5%</t>
  </si>
  <si>
    <t>Rework Effort = 10
Total Project Effort = 100
% Rework Effort - Project = (10/100) * 100 = 10%</t>
  </si>
  <si>
    <t>Rework Effort = 5
Uniphase Effort = 40
% Rework Effort - Phase = (5/40) * 100 = 12.5%</t>
  </si>
  <si>
    <t>Review Effort = 5
Uniphase Effort = 40
% Review Effort - Phase = (5/40) * 100 = 12.5%</t>
  </si>
  <si>
    <t>FC Effort = 5, 
Total Project Effort = 100
%FC Effort = (5/100) * 100 = 5%.</t>
  </si>
  <si>
    <t>Process (Project)</t>
  </si>
  <si>
    <t>Process (Phase)</t>
  </si>
  <si>
    <t>Process (Sprint)</t>
  </si>
  <si>
    <t>Check</t>
  </si>
  <si>
    <t>Description</t>
  </si>
  <si>
    <t>Grade A</t>
  </si>
  <si>
    <t>Grade B</t>
  </si>
  <si>
    <t>Grade C</t>
  </si>
  <si>
    <t>Grade D</t>
  </si>
  <si>
    <t>Grade E</t>
  </si>
  <si>
    <t>Grade F</t>
  </si>
  <si>
    <t>Grade G</t>
  </si>
  <si>
    <t>Grade H</t>
  </si>
  <si>
    <t>Grades</t>
  </si>
  <si>
    <t>&lt;Do Not Delete or move these cells&gt;</t>
  </si>
  <si>
    <t>Detailed Schedule File</t>
  </si>
  <si>
    <t>&lt;Provide reference or embedd the detailed schedule file/mpp&gt;</t>
  </si>
  <si>
    <t>SK1</t>
  </si>
  <si>
    <t>SK2</t>
  </si>
  <si>
    <t>SK3</t>
  </si>
  <si>
    <t>SK4</t>
  </si>
  <si>
    <t>SK5</t>
  </si>
  <si>
    <t>Design Engineering</t>
  </si>
  <si>
    <t>SK6</t>
  </si>
  <si>
    <t>SK7</t>
  </si>
  <si>
    <t>SK8</t>
  </si>
  <si>
    <t>SK9</t>
  </si>
  <si>
    <t>SK10</t>
  </si>
  <si>
    <t>SK11</t>
  </si>
  <si>
    <t>SK12</t>
  </si>
  <si>
    <t>SK13</t>
  </si>
  <si>
    <t>SK14</t>
  </si>
  <si>
    <t>SK15</t>
  </si>
  <si>
    <t>SK16</t>
  </si>
  <si>
    <t>SK17</t>
  </si>
  <si>
    <t>SK18</t>
  </si>
  <si>
    <t>SK19</t>
  </si>
  <si>
    <t>SK20</t>
  </si>
  <si>
    <t>SK21</t>
  </si>
  <si>
    <t>SK22</t>
  </si>
  <si>
    <t>SK23</t>
  </si>
  <si>
    <t>SK24</t>
  </si>
  <si>
    <t>SK25</t>
  </si>
  <si>
    <t>SK27</t>
  </si>
  <si>
    <t>SK28</t>
  </si>
  <si>
    <t>SK29</t>
  </si>
  <si>
    <t>SK30</t>
  </si>
  <si>
    <t>SK31</t>
  </si>
  <si>
    <t>SK32</t>
  </si>
  <si>
    <t>SK33</t>
  </si>
  <si>
    <t>SK34</t>
  </si>
  <si>
    <t>SK35</t>
  </si>
  <si>
    <t>SK36</t>
  </si>
  <si>
    <t>SK37</t>
  </si>
  <si>
    <t>SK38</t>
  </si>
  <si>
    <t>SK39</t>
  </si>
  <si>
    <t>SK40</t>
  </si>
  <si>
    <t>SK41</t>
  </si>
  <si>
    <t>SK42</t>
  </si>
  <si>
    <t>SK43</t>
  </si>
  <si>
    <t>SK44</t>
  </si>
  <si>
    <t>SK45</t>
  </si>
  <si>
    <t>SK46</t>
  </si>
  <si>
    <t>SK47</t>
  </si>
  <si>
    <t>SK48</t>
  </si>
  <si>
    <t>SK49</t>
  </si>
  <si>
    <t>SK50</t>
  </si>
  <si>
    <t>SK51</t>
  </si>
  <si>
    <t>SK52</t>
  </si>
  <si>
    <t>Business Etiquettes</t>
  </si>
  <si>
    <t>SK53</t>
  </si>
  <si>
    <t>SK54</t>
  </si>
  <si>
    <t>SK55</t>
  </si>
  <si>
    <t>Plant Modelling &amp; Simulation (GT Power, Matlab, AMESim, etc.)</t>
  </si>
  <si>
    <t>SK56</t>
  </si>
  <si>
    <t>SK57</t>
  </si>
  <si>
    <t>SK58</t>
  </si>
  <si>
    <t>SK59</t>
  </si>
  <si>
    <t>SK60</t>
  </si>
  <si>
    <t>SK61</t>
  </si>
  <si>
    <t>SK62</t>
  </si>
  <si>
    <t>SK63</t>
  </si>
  <si>
    <t>SK64</t>
  </si>
  <si>
    <t>SK65</t>
  </si>
  <si>
    <t>SK66</t>
  </si>
  <si>
    <t>SK67</t>
  </si>
  <si>
    <t>SK68</t>
  </si>
  <si>
    <t>SK69</t>
  </si>
  <si>
    <t>MBSE &amp; SysML using Tools like Rhapsody/EA/PTC Modeller/Etc.</t>
  </si>
  <si>
    <t>SK70</t>
  </si>
  <si>
    <t>SK71</t>
  </si>
  <si>
    <t>System Validation (&amp; Scenario Development) using Simulation tools like CarMaker/CarSim/TruckSim/CARLA/etc.</t>
  </si>
  <si>
    <t>SK72</t>
  </si>
  <si>
    <t>SK73</t>
  </si>
  <si>
    <t>SK74</t>
  </si>
  <si>
    <t>SK75</t>
  </si>
  <si>
    <t>SK76</t>
  </si>
  <si>
    <t>SK77</t>
  </si>
  <si>
    <t>SK78</t>
  </si>
  <si>
    <t>SK79</t>
  </si>
  <si>
    <t>SK80</t>
  </si>
  <si>
    <t>SK81</t>
  </si>
  <si>
    <t>SK82</t>
  </si>
  <si>
    <t>SK83</t>
  </si>
  <si>
    <t>SK84</t>
  </si>
  <si>
    <t>SK85</t>
  </si>
  <si>
    <t>SK86</t>
  </si>
  <si>
    <t>SK87</t>
  </si>
  <si>
    <t>SK88</t>
  </si>
  <si>
    <t>SK89</t>
  </si>
  <si>
    <t>SK90</t>
  </si>
  <si>
    <t>SK91</t>
  </si>
  <si>
    <t>SK92</t>
  </si>
  <si>
    <t>Serial Communications (Like UART/SPI/I2C, Etc.)</t>
  </si>
  <si>
    <t>SK93</t>
  </si>
  <si>
    <t>SK94</t>
  </si>
  <si>
    <t>SK95</t>
  </si>
  <si>
    <t>SK96</t>
  </si>
  <si>
    <t>SK97</t>
  </si>
  <si>
    <t>SK98</t>
  </si>
  <si>
    <t>SK99</t>
  </si>
  <si>
    <t>SK100</t>
  </si>
  <si>
    <t>SK101</t>
  </si>
  <si>
    <t>SK102</t>
  </si>
  <si>
    <t>SK103</t>
  </si>
  <si>
    <t>SK104</t>
  </si>
  <si>
    <t>SK105</t>
  </si>
  <si>
    <t>SK106</t>
  </si>
  <si>
    <t>SK107</t>
  </si>
  <si>
    <t>SK108</t>
  </si>
  <si>
    <t>SK109</t>
  </si>
  <si>
    <t>SK110</t>
  </si>
  <si>
    <t>SK111</t>
  </si>
  <si>
    <t>SK112</t>
  </si>
  <si>
    <t>SK113</t>
  </si>
  <si>
    <t>SK114</t>
  </si>
  <si>
    <t>SK115</t>
  </si>
  <si>
    <t>SK116</t>
  </si>
  <si>
    <t>SK117</t>
  </si>
  <si>
    <t>SK118</t>
  </si>
  <si>
    <t>SK119</t>
  </si>
  <si>
    <t>SK120</t>
  </si>
  <si>
    <t>SK121</t>
  </si>
  <si>
    <t>Object Fusion</t>
  </si>
  <si>
    <t>SK122</t>
  </si>
  <si>
    <t>SK123</t>
  </si>
  <si>
    <t>Driving Strategy</t>
  </si>
  <si>
    <t>SK124</t>
  </si>
  <si>
    <t>Trajectory Planning</t>
  </si>
  <si>
    <t>SK125</t>
  </si>
  <si>
    <t>Driver Model</t>
  </si>
  <si>
    <t>SK126</t>
  </si>
  <si>
    <t>Road Model</t>
  </si>
  <si>
    <t>SK127</t>
  </si>
  <si>
    <t>ADAS HD Map</t>
  </si>
  <si>
    <t>SK128</t>
  </si>
  <si>
    <t>Prediction Sit. Interpretation</t>
  </si>
  <si>
    <t>SK129</t>
  </si>
  <si>
    <t>SK130</t>
  </si>
  <si>
    <t>SK131</t>
  </si>
  <si>
    <t>SK132</t>
  </si>
  <si>
    <t>SK133</t>
  </si>
  <si>
    <t>SK134</t>
  </si>
  <si>
    <t>SK135</t>
  </si>
  <si>
    <t>SK136</t>
  </si>
  <si>
    <t>SK137</t>
  </si>
  <si>
    <t>SK138</t>
  </si>
  <si>
    <t>SK139</t>
  </si>
  <si>
    <t>SK142</t>
  </si>
  <si>
    <t>SK143</t>
  </si>
  <si>
    <t>SK144</t>
  </si>
  <si>
    <t>SK145</t>
  </si>
  <si>
    <t>SK146</t>
  </si>
  <si>
    <t>SK147</t>
  </si>
  <si>
    <t>V2X</t>
  </si>
  <si>
    <t>SK148</t>
  </si>
  <si>
    <t>Knowledge of V2X Functions</t>
  </si>
  <si>
    <t>SK149</t>
  </si>
  <si>
    <t>SK150</t>
  </si>
  <si>
    <t>DSRC</t>
  </si>
  <si>
    <t>SK151</t>
  </si>
  <si>
    <t>5G</t>
  </si>
  <si>
    <t>SK152</t>
  </si>
  <si>
    <t>SK153</t>
  </si>
  <si>
    <t>SK154</t>
  </si>
  <si>
    <t>SK155</t>
  </si>
  <si>
    <t>SK156</t>
  </si>
  <si>
    <t>SK157</t>
  </si>
  <si>
    <t>SK158</t>
  </si>
  <si>
    <t>Damping</t>
  </si>
  <si>
    <t>SK159</t>
  </si>
  <si>
    <t xml:space="preserve">Suspension </t>
  </si>
  <si>
    <t>SK160</t>
  </si>
  <si>
    <t>Compressor</t>
  </si>
  <si>
    <t>SK161</t>
  </si>
  <si>
    <t>Breaking System</t>
  </si>
  <si>
    <t>SK162</t>
  </si>
  <si>
    <t>Steering System</t>
  </si>
  <si>
    <t>SK163</t>
  </si>
  <si>
    <t>Wheels (Axles, Tyres, Differential, etc.)</t>
  </si>
  <si>
    <t>SK164</t>
  </si>
  <si>
    <t>SK165</t>
  </si>
  <si>
    <t>SK166</t>
  </si>
  <si>
    <t>SK167</t>
  </si>
  <si>
    <t>SK168</t>
  </si>
  <si>
    <t>SK169</t>
  </si>
  <si>
    <t>SK170</t>
  </si>
  <si>
    <t>SK171</t>
  </si>
  <si>
    <t>SK172</t>
  </si>
  <si>
    <t>SK173</t>
  </si>
  <si>
    <t>SK174</t>
  </si>
  <si>
    <t>SK175</t>
  </si>
  <si>
    <t>SK176</t>
  </si>
  <si>
    <t>Skill ID</t>
  </si>
  <si>
    <t>Goal Tolerance
(LSL - USL)</t>
  </si>
  <si>
    <t>Role Grade Mapping</t>
  </si>
  <si>
    <t>A Grade</t>
  </si>
  <si>
    <t>B Grade</t>
  </si>
  <si>
    <t>C Grade</t>
  </si>
  <si>
    <t>D Grade</t>
  </si>
  <si>
    <t>E Grade</t>
  </si>
  <si>
    <t>F Grade</t>
  </si>
  <si>
    <t>G Grade</t>
  </si>
  <si>
    <t>H Grade</t>
  </si>
  <si>
    <t>I Grade</t>
  </si>
  <si>
    <t>J Grade</t>
  </si>
  <si>
    <t>K Grade</t>
  </si>
  <si>
    <t>L Grade</t>
  </si>
  <si>
    <t>EM Grade</t>
  </si>
  <si>
    <t>Practice</t>
  </si>
  <si>
    <t>Trainee</t>
  </si>
  <si>
    <t>Software Engineer/
Practice Assistant</t>
  </si>
  <si>
    <t>Sr. Software Engineer/
Junior Practice Analyst</t>
  </si>
  <si>
    <t>Technical Leader/
Practice Analyst</t>
  </si>
  <si>
    <t>Sr. Technical Leader/
Junior Practice Coordinator/
Engineer Senior I</t>
  </si>
  <si>
    <t>Designer</t>
  </si>
  <si>
    <t xml:space="preserve">
Senior Designer/
Solution Architect/
Subject Matter Expert</t>
  </si>
  <si>
    <t xml:space="preserve">
Sr. Solution Architect/
Subject Matter Expert</t>
  </si>
  <si>
    <t>Senior Practice Director/
Solutions Director</t>
  </si>
  <si>
    <t>Associate Vice President/
Associate Vice President - Practice Head/
Practice Head/
Associate Partner</t>
  </si>
  <si>
    <t>Consulting Partner/
Practice Head/
Vice President/
Vice President – CTO/
Vice President - Practice Head/
Vice President - Practice Head</t>
  </si>
  <si>
    <t>Managing Partner/
Sr. Vice President</t>
  </si>
  <si>
    <t>Associate Practice Director/</t>
  </si>
  <si>
    <t>Practice Director/
Practice Director - IoT/
Practice Manager/</t>
  </si>
  <si>
    <t>Development Specialist</t>
  </si>
  <si>
    <t>Sr. Development Specialist</t>
  </si>
  <si>
    <t>Expert Developer</t>
  </si>
  <si>
    <t>Test Engineer</t>
  </si>
  <si>
    <t>Sr. Test Engineer</t>
  </si>
  <si>
    <t>Test Leader</t>
  </si>
  <si>
    <t>Sr. Test Leader</t>
  </si>
  <si>
    <t>Associate Test Manager</t>
  </si>
  <si>
    <t>Test Manager</t>
  </si>
  <si>
    <t>Program Manager - Testing</t>
  </si>
  <si>
    <t>Sr. Program Manager - Testing</t>
  </si>
  <si>
    <t>COE Head</t>
  </si>
  <si>
    <t>Architecture</t>
  </si>
  <si>
    <t>Associate Solution Architect</t>
  </si>
  <si>
    <t>Solution Architect</t>
  </si>
  <si>
    <t>Sr. Solution Architect</t>
  </si>
  <si>
    <t>Principal Solution Architect</t>
  </si>
  <si>
    <t>Chief Architect</t>
  </si>
  <si>
    <t>Managerial</t>
  </si>
  <si>
    <t>Associate Manager</t>
  </si>
  <si>
    <t>Manager</t>
  </si>
  <si>
    <t>Senior Manager</t>
  </si>
  <si>
    <t>Associate Director, Delivery/
Associate Director</t>
  </si>
  <si>
    <t>Director/
Director Delivery</t>
  </si>
  <si>
    <t>Associate Vice President/
Associate Vice President, Delivery Head</t>
  </si>
  <si>
    <t>Vice President - Business Leader/
Vice President - Global Business Leader/
Vice President - Global Industry Leader/
Vice President - SBU Head/
Vice President - Vertical Delivery Head/
Consulting Partner</t>
  </si>
  <si>
    <t>Sr. Vice President - Global Head SBU/
Managing Partner</t>
  </si>
  <si>
    <t>President - Global SBU Head</t>
  </si>
  <si>
    <t>Role-Grade Wise Competency Profiles</t>
  </si>
  <si>
    <t>1 - Beginner (Needs Guidance)</t>
  </si>
  <si>
    <t>2 - User (Can do independently)</t>
  </si>
  <si>
    <t>3 - Expert (Can teach/guide others)</t>
  </si>
  <si>
    <t>PF/NOS/AUTOSAR</t>
  </si>
  <si>
    <t>DeveloperGrade A</t>
  </si>
  <si>
    <t>DeveloperGrade B</t>
  </si>
  <si>
    <t>DeveloperGrade C</t>
  </si>
  <si>
    <t>DeveloperGrade D</t>
  </si>
  <si>
    <t>DeveloperGrade E</t>
  </si>
  <si>
    <t>TesterGrade A</t>
  </si>
  <si>
    <t>TesterGrade B</t>
  </si>
  <si>
    <t>TesterGrade C</t>
  </si>
  <si>
    <t>TesterGrade D</t>
  </si>
  <si>
    <t>TesterGrade E</t>
  </si>
  <si>
    <t>SMEGrade F</t>
  </si>
  <si>
    <t>SMEGrade G</t>
  </si>
  <si>
    <t>SMEGrade H</t>
  </si>
  <si>
    <t>Project ManagerGrade G</t>
  </si>
  <si>
    <t>Program ManagerGrade H</t>
  </si>
  <si>
    <t>Scrum MasterGrade F</t>
  </si>
  <si>
    <t>Scrum MasterGrade G</t>
  </si>
  <si>
    <t>Product OwnerGrade F</t>
  </si>
  <si>
    <t>Product OwnerGrade G</t>
  </si>
  <si>
    <t>Additional Project Specific Skills</t>
  </si>
  <si>
    <t xml:space="preserve">Role: </t>
  </si>
  <si>
    <t xml:space="preserve">Grade: </t>
  </si>
  <si>
    <t xml:space="preserve">Required No: </t>
  </si>
  <si>
    <t>Project Resources &amp; Competency Profiles</t>
  </si>
  <si>
    <r>
      <rPr>
        <b/>
        <sz val="11"/>
        <rFont val="Work Sans"/>
        <scheme val="minor"/>
      </rPr>
      <t>Step 1</t>
    </r>
    <r>
      <rPr>
        <sz val="11"/>
        <rFont val="Work Sans"/>
        <family val="2"/>
        <scheme val="minor"/>
      </rPr>
      <t xml:space="preserve">. Select the applicable skill groups using column D.
</t>
    </r>
    <r>
      <rPr>
        <b/>
        <sz val="11"/>
        <rFont val="Work Sans"/>
        <scheme val="minor"/>
      </rPr>
      <t>Step 2</t>
    </r>
    <r>
      <rPr>
        <sz val="11"/>
        <rFont val="Work Sans"/>
        <family val="2"/>
        <scheme val="minor"/>
      </rPr>
      <t xml:space="preserve">. Identify the critical skill under each applicable group using column D.
</t>
    </r>
    <r>
      <rPr>
        <b/>
        <sz val="11"/>
        <rFont val="Work Sans"/>
        <scheme val="minor"/>
      </rPr>
      <t>Step 3</t>
    </r>
    <r>
      <rPr>
        <sz val="11"/>
        <rFont val="Work Sans"/>
        <family val="2"/>
        <scheme val="minor"/>
      </rPr>
      <t xml:space="preserve">. Add &amp; Select Roles &amp; Grades needed in the project.
</t>
    </r>
    <r>
      <rPr>
        <b/>
        <sz val="11"/>
        <rFont val="Work Sans"/>
        <scheme val="minor"/>
      </rPr>
      <t>Step 4</t>
    </r>
    <r>
      <rPr>
        <sz val="11"/>
        <rFont val="Work Sans"/>
        <family val="2"/>
        <scheme val="minor"/>
      </rPr>
      <t xml:space="preserve">. Customize the competency profiles of the Roles - Grade if needed.
</t>
    </r>
    <r>
      <rPr>
        <b/>
        <sz val="11"/>
        <rFont val="Work Sans"/>
        <scheme val="minor"/>
      </rPr>
      <t>Step 5</t>
    </r>
    <r>
      <rPr>
        <sz val="11"/>
        <rFont val="Work Sans"/>
        <family val="2"/>
        <scheme val="minor"/>
      </rPr>
      <t>. Specify the required number of people in each Role-Grade.</t>
    </r>
  </si>
  <si>
    <t>Programming Languages</t>
  </si>
  <si>
    <t>C++</t>
  </si>
  <si>
    <t>Java</t>
  </si>
  <si>
    <t>C#</t>
  </si>
  <si>
    <t xml:space="preserve">XTend </t>
  </si>
  <si>
    <t>Scripting &amp; Tools</t>
  </si>
  <si>
    <t>Python</t>
  </si>
  <si>
    <t>Pearl</t>
  </si>
  <si>
    <t>Shell</t>
  </si>
  <si>
    <t>Bash, Bash</t>
  </si>
  <si>
    <t>CAPL</t>
  </si>
  <si>
    <t>SDLC</t>
  </si>
  <si>
    <t>Requirements Engineering/Management</t>
  </si>
  <si>
    <t>Requirements Management Tools like DOORS/DNG/PTC/Etc.</t>
  </si>
  <si>
    <t>OOD - Design Patterns</t>
  </si>
  <si>
    <t>OOD - UML &amp; Tools Like EA, Rhapsody, etc.</t>
  </si>
  <si>
    <t>Static Analysis using tools like QAC, Polyspace, etc.)</t>
  </si>
  <si>
    <t>Automotive Domain</t>
  </si>
  <si>
    <t>Embedded Systems</t>
  </si>
  <si>
    <t>STLC</t>
  </si>
  <si>
    <t>Test Case Design &amp; Development</t>
  </si>
  <si>
    <t>Test Automation Development</t>
  </si>
  <si>
    <t>Test Management Tools like RQM, HPQC, etc.)</t>
  </si>
  <si>
    <t>White Box Testing</t>
  </si>
  <si>
    <t xml:space="preserve">Unit Testing </t>
  </si>
  <si>
    <t>Unit Testing Tools like RTRT, CANTATA etc.)</t>
  </si>
  <si>
    <t>Black Box Testing</t>
  </si>
  <si>
    <t xml:space="preserve">Manual Test Execution </t>
  </si>
  <si>
    <t>Standards &amp; Tools</t>
  </si>
  <si>
    <t>KPIT Process</t>
  </si>
  <si>
    <t>Process Consultancy</t>
  </si>
  <si>
    <t>Project Management</t>
  </si>
  <si>
    <t>KPIT Way</t>
  </si>
  <si>
    <t>Model Based Development</t>
  </si>
  <si>
    <t>Model Based Testing</t>
  </si>
  <si>
    <t>System Engineering</t>
  </si>
  <si>
    <t>Scripting Languages Pearl/Python/Xtend etc.</t>
  </si>
  <si>
    <t>CV Common Skills</t>
  </si>
  <si>
    <t>HMI Development</t>
  </si>
  <si>
    <t>HMI Development - Android Framework</t>
  </si>
  <si>
    <t>HMI Development - 2D - Qt/QML, Altia, CGI, Kanzi, Populous, Unity, EB Guide etc</t>
  </si>
  <si>
    <t>HMI Development - 3D - Qt/QML, Altia, CGI, Kanzi</t>
  </si>
  <si>
    <t>Languages</t>
  </si>
  <si>
    <t>iOS Programming - Objective C</t>
  </si>
  <si>
    <t>Application Development</t>
  </si>
  <si>
    <t>Application Development - Android</t>
  </si>
  <si>
    <t>Application Development - iOS</t>
  </si>
  <si>
    <t>Middleware Development</t>
  </si>
  <si>
    <t>MW development - Infotainment, RSE</t>
  </si>
  <si>
    <t>MW Development - Cluster, HUD</t>
  </si>
  <si>
    <t>System Programming</t>
  </si>
  <si>
    <t>Linux - BSP/Driver Development</t>
  </si>
  <si>
    <t>Linux - Kernel Development</t>
  </si>
  <si>
    <t>Android - HAL Development</t>
  </si>
  <si>
    <t>Infotainment - Sub Domains</t>
  </si>
  <si>
    <t xml:space="preserve">Graphics Frameworks/Management </t>
  </si>
  <si>
    <t xml:space="preserve">Audio Frameworks/Management </t>
  </si>
  <si>
    <t>Media Frameworks/Management</t>
  </si>
  <si>
    <t>Projection Frameworks/Management (Android Auto, Carplay, Baidu)</t>
  </si>
  <si>
    <t>OTA Frameworks/Management</t>
  </si>
  <si>
    <t>Video Frameworks/Management</t>
  </si>
  <si>
    <t>Tuner ( AM, FM, RDS, DAB, HD Radio)</t>
  </si>
  <si>
    <t>Connectivity - Bluetooth</t>
  </si>
  <si>
    <t>Connectivity - Wifi</t>
  </si>
  <si>
    <t>Cluster HUD Sub-Domains</t>
  </si>
  <si>
    <t>CAN Stack</t>
  </si>
  <si>
    <t>Cluster funtions - Gauges,Telltale,Trip etc</t>
  </si>
  <si>
    <t>HMI frameworks/Management</t>
  </si>
  <si>
    <t>BSP- PWM,SPI,ADC etc</t>
  </si>
  <si>
    <t>AUTOSAR based application development</t>
  </si>
  <si>
    <t>Cluster/HUD Diagnostics</t>
  </si>
  <si>
    <t>Vehicle Systems - Body</t>
  </si>
  <si>
    <t>Infotainment Sub-Domains</t>
  </si>
  <si>
    <t>Not Required</t>
  </si>
  <si>
    <t>Skill Sub-Group</t>
  </si>
  <si>
    <t>Required</t>
  </si>
  <si>
    <t>AD - Domain</t>
  </si>
  <si>
    <t>AD - Overarching Skills</t>
  </si>
  <si>
    <t>Functional Safety</t>
  </si>
  <si>
    <t>AI/ML</t>
  </si>
  <si>
    <t>C++ Development</t>
  </si>
  <si>
    <t>Domain Specific</t>
  </si>
  <si>
    <t>SW Devlopment (Summary level Skill)</t>
  </si>
  <si>
    <t>ROS (Robotic Operating System) Knowledge</t>
  </si>
  <si>
    <t>Cyber Security</t>
  </si>
  <si>
    <t>UX/HMI</t>
  </si>
  <si>
    <t>Verification &amp; Validation</t>
  </si>
  <si>
    <t>Big Data</t>
  </si>
  <si>
    <t>Simulation (Carmaker, etc.)</t>
  </si>
  <si>
    <t>AUTOSAR</t>
  </si>
  <si>
    <t xml:space="preserve">Build &amp; Integration </t>
  </si>
  <si>
    <t>Project Lead</t>
  </si>
  <si>
    <t>Project LeadGrade E</t>
  </si>
  <si>
    <t>Project LeadGrade F</t>
  </si>
  <si>
    <t>SMEGrade E</t>
  </si>
  <si>
    <t>Module1</t>
  </si>
  <si>
    <t>Module2</t>
  </si>
  <si>
    <t>Module3</t>
  </si>
  <si>
    <t>Review Effectiveness</t>
  </si>
  <si>
    <t>Technical Findings % - Phase</t>
  </si>
  <si>
    <t>No. of Technical findings in the review/ Total findings in the Uniphase</t>
  </si>
  <si>
    <t>(Actual Effort- Planned Effort)/Planned Effort : Phase wise</t>
  </si>
  <si>
    <t>(Actual Size-Planned size)/Planned size :(Phase wise) *100</t>
  </si>
  <si>
    <t>(Actual Size -Planned size)/Planned size : (Project wise) *100</t>
  </si>
  <si>
    <t>&lt;1.0&gt;</t>
  </si>
  <si>
    <t>&lt;Change details&gt;</t>
  </si>
  <si>
    <t>&lt;Name&gt;</t>
  </si>
  <si>
    <t>&lt;dd-Mmm-yy&gt;</t>
  </si>
  <si>
    <t>Direct Estimation</t>
  </si>
  <si>
    <t>WBD Estimation</t>
  </si>
  <si>
    <t>&lt;City&gt;,&lt;Country&gt;</t>
  </si>
  <si>
    <t>Steering Meeting</t>
  </si>
  <si>
    <t>Requirements Implementation Coverage</t>
  </si>
  <si>
    <t>(No. of Requirements Implemented in Test Cases / Total No. of Requirements) * 100</t>
  </si>
  <si>
    <t>(No. of Requirements Implemented / Total No. of Requirements) * 100</t>
  </si>
  <si>
    <t>CPU Load</t>
  </si>
  <si>
    <t>1-(Number of processes running in the memory*Average % of time processes are waiting in I/O)</t>
  </si>
  <si>
    <t>%</t>
  </si>
  <si>
    <t>Lower the better</t>
  </si>
  <si>
    <t>Recommended range from KPIT Autosar practice 70-75%. 
Can be measured by pin toggling mechanism or Timing Architect tool</t>
  </si>
  <si>
    <t>Product Performance</t>
  </si>
  <si>
    <t>RAM Utilization</t>
  </si>
  <si>
    <t>[Total Memory - (Free + Buffers + Cached)]/ Total Memory</t>
  </si>
  <si>
    <t>Recommended value from KPIT Autosar practice &lt;60%. 
Autosar Stack utilization measurement can be done using the Autosar OS feature. RAM utilization can be measured by using MAP file</t>
  </si>
  <si>
    <t>ROM Utilization</t>
  </si>
  <si>
    <t>Recommended value from KPIT Autosar practice &lt;60%.
ROM utilization can be measured using MAP file</t>
  </si>
  <si>
    <t>Time taken to execute the 100uS task</t>
  </si>
  <si>
    <t>micro-seconds</t>
  </si>
  <si>
    <t>Ideally task execution should complete in &lt;60uS. Timing Architect tool can be used or pin toggling mechanism or debugger with trace option can be used to measure</t>
  </si>
  <si>
    <t>Time taken to execute the 1mS task</t>
  </si>
  <si>
    <t>milli-seconds</t>
  </si>
  <si>
    <t>Ideally task execution should complete in &lt;700uS. Timing Architect tool can be used or pin toggling mechanism or debugger with trace option can be used to measure</t>
  </si>
  <si>
    <t>Boot loading time (First frame transmission time)</t>
  </si>
  <si>
    <t>Time from the system start to first frame transmission (mS)</t>
  </si>
  <si>
    <t>Recommended value from KPIT Autosar practice 100 to 150ms.
Can be measured by toggling a pin after first frame is transmitted. Oscilloscope can be used to measure. If ECU is already running, then time between last frame successful transmission to first frame can also be measured (Excluding shutdown time). Timing Architect tool can be used to measure as well</t>
  </si>
  <si>
    <t>Boot loading time (Read all time)</t>
  </si>
  <si>
    <t>Time taken to read back from the memory (mS)</t>
  </si>
  <si>
    <t>Recommended value from KPIT Autosar practice &lt;50ms. 
Can be measured by using a 1mS timer or by toggling a pin before read all function and after read all completion. Timing Architect tool can be used to measure as well</t>
  </si>
  <si>
    <t>Write all time</t>
  </si>
  <si>
    <t>Time taken to write back to the memory (mS)</t>
  </si>
  <si>
    <t>Recommended value from KPIT Autosar practice 50 to 100ms. 
Can be measured by using a 1mS timer or by toggling a pin before write all function and after write all completion. Timing Architect tool can be used to measure as well</t>
  </si>
  <si>
    <t>Build Pass %</t>
  </si>
  <si>
    <t>Number of builds successfully passed/ Number of total builds</t>
  </si>
  <si>
    <t>Higher the better</t>
  </si>
  <si>
    <t>Technical Debt (Katapult)</t>
  </si>
  <si>
    <t>Refer Katapult Guidelines</t>
  </si>
  <si>
    <t>Person Days</t>
  </si>
  <si>
    <t>Compiler Warnings</t>
  </si>
  <si>
    <t>Number of compiler warnings</t>
  </si>
  <si>
    <t>Lines of code as comments/ Total lines of code</t>
  </si>
  <si>
    <t>Between 20% and 50%</t>
  </si>
  <si>
    <t>% Duplication</t>
  </si>
  <si>
    <t>Duplicate blocks of code/ Total lines of code</t>
  </si>
  <si>
    <t>Can be higher when team/ project is new or new module is introduced. Should decrease over time</t>
  </si>
  <si>
    <t>Review coverage</t>
  </si>
  <si>
    <t>Review Defects Severity</t>
  </si>
  <si>
    <t>Reopened Tickets</t>
  </si>
  <si>
    <t>Reopened Tickets%</t>
  </si>
  <si>
    <t xml:space="preserve">Number of tickets reopened/ Total tickets  </t>
  </si>
  <si>
    <t>Test Coverage</t>
  </si>
  <si>
    <t>Use Case-Requirements Coverage</t>
  </si>
  <si>
    <t>Number of requirements traced to use cases</t>
  </si>
  <si>
    <t>Use Case - Test Coverage</t>
  </si>
  <si>
    <t>Number of use cases covered by test cases</t>
  </si>
  <si>
    <t>Test Automation coverage</t>
  </si>
  <si>
    <t>Number of Test cases automated/ number of total test cases</t>
  </si>
  <si>
    <t>Test Execution</t>
  </si>
  <si>
    <t>Total Test Cases</t>
  </si>
  <si>
    <t>Number of Test Case objectives/scenarios</t>
  </si>
  <si>
    <t>Positive Test Cases%</t>
  </si>
  <si>
    <t>Number of Test Case objectives/scenarios Marked as Positive Scenarios/ Total Test Cases</t>
  </si>
  <si>
    <t>Negative Test Cases%</t>
  </si>
  <si>
    <t>Number of Test Case Objectives/scenarios Marked as Negative Scenarios/ Total Test Cases</t>
  </si>
  <si>
    <t>Test Pass Rate</t>
  </si>
  <si>
    <t>Number of test cases passed/ Total number of test cases</t>
  </si>
  <si>
    <t>Mean time between failures (MTBF)</t>
  </si>
  <si>
    <t>False Pass In Automation</t>
  </si>
  <si>
    <t>Number of False Pass Reported from Automation ÷ Total Number of Automation Script Executed</t>
  </si>
  <si>
    <t>False Fail In Automation</t>
  </si>
  <si>
    <t>Number of False Fail Reported from Automation ÷ Total Number of Automation Script Executed</t>
  </si>
  <si>
    <t>100uS task Execution time</t>
  </si>
  <si>
    <t xml:space="preserve">1mS task Execution time </t>
  </si>
  <si>
    <t>(Number of Severe Review Defects ÷ Total Number of Review Defects)</t>
  </si>
  <si>
    <t>Number of Hours Stability Test Executed ÷ Number of Stability Issues</t>
  </si>
  <si>
    <t xml:space="preserve">Complexity of Most Complex Function </t>
  </si>
  <si>
    <t>20-50%</t>
  </si>
  <si>
    <t>Data Source
/Remarks/Justfication</t>
  </si>
  <si>
    <t>100 - (Rework Effort to fix findings from Customer / Total Effort x 100)</t>
  </si>
  <si>
    <t>100 - (Rework Effort to fix findings from Review, Screen, Katapult, Testing, Customer / Total Effort x 100)</t>
  </si>
  <si>
    <t>First Time Right</t>
  </si>
  <si>
    <t>Number of Configurable items released with review/ Total Configurable items eligible for review</t>
  </si>
  <si>
    <t>Configurable items sent without review - Phase</t>
  </si>
  <si>
    <t>Configurable items released without review/ Total no. of Configurable items eligible for review</t>
  </si>
  <si>
    <t>Average Defects per Configurable items</t>
  </si>
  <si>
    <t>(Number of Review Defects ÷ Number of Configurable items Reviewed)</t>
  </si>
  <si>
    <t>Defects / Configurable items</t>
  </si>
  <si>
    <t>Configurable items without technical findings</t>
  </si>
  <si>
    <t>Configurable items without technical findings/ Total no. of Configurable items eligible for review</t>
  </si>
  <si>
    <t>Code Quality</t>
  </si>
  <si>
    <t>ZDD% based on External RE</t>
  </si>
  <si>
    <t>FTR% based on External &amp; Internal RE</t>
  </si>
  <si>
    <t>On Time Delivery %</t>
  </si>
  <si>
    <t>&lt;Project ID&gt;,&lt;Project Name&gt;</t>
  </si>
  <si>
    <t>Code Coverage (Software / Integration Test)</t>
  </si>
  <si>
    <t>(UC effort/Total Project Effort)*100</t>
  </si>
  <si>
    <t>(Actual Effort- Planned Effort)/Planned Effort : Project wise</t>
  </si>
  <si>
    <t>Average (Time the issue received - Time of issue got resolved)</t>
  </si>
  <si>
    <t>Number of lines of code Tested/Total lines of code executed</t>
  </si>
  <si>
    <t>(No. of Review Defects In Uniphase + No. of Screen Discontinuities Found in Uniphase)/Size of the Uniphase</t>
  </si>
  <si>
    <t>(No. of Review Defects In Project + No. of Screen Discontinuities Found in Project)/Size of the Project</t>
  </si>
  <si>
    <t>(No. of Review Defects In Uniphase + No. of Screen Discontinuities Found in Uniphase)/Effort of the Uniphase</t>
  </si>
  <si>
    <t>(No. of Review Defects In Project + No. of Screen Discontinuities Found in Project)/Total Effort of the Project</t>
  </si>
  <si>
    <t>Number of Unit Test Cases Passed/ Number of Unit Total Test Cases Executed</t>
  </si>
  <si>
    <t>Number of Test Cases Passed/ Number of Total Test Cases</t>
  </si>
  <si>
    <t>Design Quality</t>
  </si>
  <si>
    <t>ZDD%</t>
  </si>
  <si>
    <t>Process Goals</t>
  </si>
  <si>
    <t>% Comments</t>
  </si>
  <si>
    <t>Code Violation</t>
  </si>
  <si>
    <t>Poly Red Checks</t>
  </si>
  <si>
    <t>UT Pass %</t>
  </si>
  <si>
    <t>% Coverage</t>
  </si>
  <si>
    <t>SW Test Pass %</t>
  </si>
  <si>
    <t>% Requirements Covered</t>
  </si>
  <si>
    <t>0-5%</t>
  </si>
  <si>
    <t>0-20</t>
  </si>
  <si>
    <t>&gt;=95%</t>
  </si>
  <si>
    <t>Tool Used</t>
  </si>
  <si>
    <t>Tracked in Katapult?</t>
  </si>
  <si>
    <t>Poly Grey Checks</t>
  </si>
  <si>
    <t>Max Complexity</t>
  </si>
  <si>
    <t>Is KPI Applicable?</t>
  </si>
  <si>
    <t>Exception ID(in Approved state)</t>
  </si>
  <si>
    <t>Remarks</t>
  </si>
  <si>
    <t>PATH</t>
  </si>
  <si>
    <t>GOTO</t>
  </si>
  <si>
    <t>CALLING</t>
  </si>
  <si>
    <t>CALLS</t>
  </si>
  <si>
    <t>PARAM</t>
  </si>
  <si>
    <t>STMT</t>
  </si>
  <si>
    <t>LEVEL</t>
  </si>
  <si>
    <t>RETURN</t>
  </si>
  <si>
    <t>ap_cg_cycle</t>
  </si>
  <si>
    <t>VOCF</t>
  </si>
  <si>
    <t>TBD</t>
  </si>
  <si>
    <t>No</t>
  </si>
  <si>
    <t>Yes</t>
  </si>
  <si>
    <t>&lt;=80</t>
  </si>
  <si>
    <t>&lt;=5</t>
  </si>
  <si>
    <t>&lt;=7</t>
  </si>
  <si>
    <t>1-50</t>
  </si>
  <si>
    <t>1-4</t>
  </si>
  <si>
    <t>0-1</t>
  </si>
  <si>
    <t>&lt;=4</t>
  </si>
  <si>
    <t>Polyspace bug finder</t>
  </si>
  <si>
    <t>QAC</t>
  </si>
  <si>
    <t>Tessy</t>
  </si>
  <si>
    <t>CLOC</t>
  </si>
  <si>
    <t>CPD</t>
  </si>
  <si>
    <t>Lizard</t>
  </si>
  <si>
    <t xml:space="preserve">Polyspace </t>
  </si>
  <si>
    <t>Polyspace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</si>
</sst>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d\-mmm\-yy;@"/>
    <numFmt numFmtId="165" formatCode="0.0%"/>
    <numFmt numFmtId="166" formatCode="0.0"/>
    <numFmt numFmtId="167" formatCode="0;[Red]0"/>
  </numFmts>
  <fonts count="58" x14ac:knownFonts="1">
    <font>
      <sz val="11"/>
      <color theme="1"/>
      <name val="Work Sans"/>
      <family val="2"/>
      <scheme val="minor"/>
    </font>
    <font>
      <sz val="11"/>
      <color theme="0"/>
      <name val="Work Sans"/>
      <family val="2"/>
      <scheme val="minor"/>
    </font>
    <font>
      <b/>
      <sz val="11"/>
      <name val="Work Sans"/>
      <scheme val="minor"/>
    </font>
    <font>
      <sz val="11"/>
      <name val="Work Sans"/>
      <family val="2"/>
      <scheme val="minor"/>
    </font>
    <font>
      <b/>
      <sz val="11"/>
      <color rgb="FF161718"/>
      <name val="Work Sans"/>
    </font>
    <font>
      <sz val="10"/>
      <name val="Arial"/>
      <family val="2"/>
    </font>
    <font>
      <sz val="10"/>
      <name val="Arial"/>
      <family val="2"/>
    </font>
    <font>
      <sz val="10"/>
      <name val="Work Sans"/>
      <scheme val="major"/>
    </font>
    <font>
      <sz val="11"/>
      <color theme="1"/>
      <name val="Work Sans"/>
      <scheme val="major"/>
    </font>
    <font>
      <sz val="11"/>
      <color theme="1"/>
      <name val="Work Sans"/>
      <family val="2"/>
      <scheme val="minor"/>
    </font>
    <font>
      <b/>
      <sz val="10"/>
      <color theme="1"/>
      <name val="Segoe UI"/>
      <family val="2"/>
    </font>
    <font>
      <b/>
      <sz val="16"/>
      <color theme="0"/>
      <name val="Work Sans"/>
      <scheme val="minor"/>
    </font>
    <font>
      <b/>
      <sz val="12"/>
      <name val="Work Sans"/>
      <scheme val="minor"/>
    </font>
    <font>
      <sz val="9"/>
      <color theme="1"/>
      <name val="Work Sans"/>
      <family val="2"/>
      <scheme val="minor"/>
    </font>
    <font>
      <b/>
      <sz val="11"/>
      <color theme="1"/>
      <name val="Work Sans"/>
      <scheme val="minor"/>
    </font>
    <font>
      <sz val="10"/>
      <color theme="1"/>
      <name val="Work Sans"/>
    </font>
    <font>
      <b/>
      <sz val="28"/>
      <color theme="1"/>
      <name val="Work Sans"/>
    </font>
    <font>
      <sz val="12"/>
      <color theme="1"/>
      <name val="Work Sans"/>
    </font>
    <font>
      <sz val="28"/>
      <color theme="1"/>
      <name val="Work Sans"/>
    </font>
    <font>
      <sz val="11"/>
      <color theme="1"/>
      <name val="Work Sans"/>
    </font>
    <font>
      <sz val="12"/>
      <color rgb="FF161718"/>
      <name val="Work Sans"/>
    </font>
    <font>
      <b/>
      <sz val="11"/>
      <color theme="4" tint="0.79998168889431442"/>
      <name val="Work Sans"/>
    </font>
    <font>
      <b/>
      <sz val="9"/>
      <color indexed="81"/>
      <name val="Tahoma"/>
      <family val="2"/>
    </font>
    <font>
      <sz val="9"/>
      <color indexed="81"/>
      <name val="Tahoma"/>
      <family val="2"/>
    </font>
    <font>
      <sz val="11"/>
      <color theme="4" tint="-0.249977111117893"/>
      <name val="Work Sans"/>
      <family val="2"/>
      <scheme val="minor"/>
    </font>
    <font>
      <sz val="11"/>
      <color theme="1"/>
      <name val="Work Sans"/>
      <scheme val="minor"/>
    </font>
    <font>
      <sz val="12"/>
      <color theme="1"/>
      <name val="Work Sans"/>
      <scheme val="minor"/>
    </font>
    <font>
      <sz val="12"/>
      <color theme="0"/>
      <name val="Work Sans"/>
      <scheme val="minor"/>
    </font>
    <font>
      <sz val="11"/>
      <color rgb="FFFF0000"/>
      <name val="Work Sans"/>
      <family val="2"/>
      <scheme val="minor"/>
    </font>
    <font>
      <sz val="12"/>
      <color theme="4" tint="0.79998168889431442"/>
      <name val="Work Sans"/>
    </font>
    <font>
      <sz val="11"/>
      <color theme="0"/>
      <name val="Work Sans"/>
      <scheme val="minor"/>
    </font>
    <font>
      <sz val="8"/>
      <color theme="0"/>
      <name val="Work Sans"/>
      <scheme val="minor"/>
    </font>
    <font>
      <sz val="11"/>
      <color theme="0" tint="-4.9989318521683403E-2"/>
      <name val="Work Sans"/>
      <family val="2"/>
      <scheme val="minor"/>
    </font>
    <font>
      <b/>
      <sz val="14"/>
      <color indexed="81"/>
      <name val="Tahoma"/>
      <family val="2"/>
    </font>
    <font>
      <sz val="14"/>
      <color indexed="81"/>
      <name val="Tahoma"/>
      <family val="2"/>
    </font>
    <font>
      <b/>
      <sz val="14"/>
      <color theme="1"/>
      <name val="Work Sans"/>
      <scheme val="minor"/>
    </font>
    <font>
      <b/>
      <sz val="14"/>
      <name val="Work Sans"/>
      <scheme val="minor"/>
    </font>
    <font>
      <sz val="16"/>
      <color theme="0"/>
      <name val="Work Sans"/>
      <scheme val="minor"/>
    </font>
    <font>
      <sz val="14"/>
      <color theme="1"/>
      <name val="Work Sans"/>
      <family val="2"/>
      <scheme val="minor"/>
    </font>
    <font>
      <b/>
      <sz val="12"/>
      <color theme="1"/>
      <name val="Work Sans"/>
      <family val="2"/>
      <scheme val="minor"/>
    </font>
    <font>
      <sz val="12"/>
      <color theme="0" tint="-0.499984740745262"/>
      <name val="Work Sans"/>
      <scheme val="minor"/>
    </font>
    <font>
      <sz val="11"/>
      <color theme="0" tint="-0.499984740745262"/>
      <name val="Work Sans"/>
      <scheme val="minor"/>
    </font>
    <font>
      <sz val="11"/>
      <name val="Work Sans"/>
      <scheme val="minor"/>
    </font>
    <font>
      <sz val="11"/>
      <color rgb="FF161718"/>
      <name val="Work Sans"/>
    </font>
    <font>
      <sz val="10"/>
      <color theme="0" tint="-4.9989318521683403E-2"/>
      <name val="Work Sans"/>
      <scheme val="minor"/>
    </font>
    <font>
      <sz val="11"/>
      <color theme="0" tint="-4.9989318521683403E-2"/>
      <name val="Work Sans"/>
      <scheme val="minor"/>
    </font>
    <font>
      <sz val="10"/>
      <name val="Work Sans"/>
      <scheme val="minor"/>
    </font>
    <font>
      <sz val="14"/>
      <color rgb="FF161718"/>
      <name val="Work Sans"/>
    </font>
    <font>
      <b/>
      <sz val="12"/>
      <color theme="1"/>
      <name val="Work Sans"/>
      <scheme val="minor"/>
    </font>
    <font>
      <sz val="14"/>
      <color theme="1"/>
      <name val="Work Sans"/>
    </font>
    <font>
      <sz val="10"/>
      <color theme="1"/>
      <name val="Work Sans"/>
      <scheme val="minor"/>
    </font>
    <font>
      <b/>
      <sz val="10"/>
      <color theme="1"/>
      <name val="Work Sans"/>
      <scheme val="minor"/>
    </font>
    <font>
      <sz val="10"/>
      <color theme="1"/>
      <name val="Work Sans"/>
      <family val="2"/>
      <scheme val="minor"/>
    </font>
    <font>
      <sz val="11"/>
      <color indexed="23"/>
      <name val="Work Sans"/>
      <scheme val="minor"/>
    </font>
    <font>
      <sz val="10"/>
      <color indexed="23"/>
      <name val="Work Sans"/>
      <scheme val="minor"/>
    </font>
    <font>
      <b/>
      <sz val="12"/>
      <color theme="1"/>
      <name val="Work Sans"/>
      <scheme val="major"/>
    </font>
    <font>
      <sz val="9"/>
      <color indexed="81"/>
      <name val="Work Sans"/>
      <scheme val="major"/>
    </font>
    <font>
      <sz val="9"/>
      <color indexed="81"/>
      <name val="Work Sans"/>
      <scheme val="minor"/>
    </font>
  </fonts>
  <fills count="22">
    <fill>
      <patternFill patternType="none"/>
    </fill>
    <fill>
      <patternFill patternType="gray125"/>
    </fill>
    <fill>
      <patternFill patternType="solid">
        <fgColor theme="4" tint="0.79998168889431442"/>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0"/>
        <bgColor indexed="64"/>
      </patternFill>
    </fill>
    <fill>
      <patternFill patternType="solid">
        <fgColor theme="7"/>
        <bgColor indexed="64"/>
      </patternFill>
    </fill>
    <fill>
      <patternFill patternType="solid">
        <fgColor theme="4"/>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5"/>
        <bgColor indexed="64"/>
      </patternFill>
    </fill>
    <fill>
      <patternFill patternType="solid">
        <fgColor rgb="FFFFFF00"/>
        <bgColor indexed="64"/>
      </patternFill>
    </fill>
    <fill>
      <patternFill patternType="solid">
        <fgColor rgb="FFE0FFC1"/>
        <bgColor indexed="64"/>
      </patternFill>
    </fill>
    <fill>
      <patternFill patternType="solid">
        <fgColor rgb="FFFF00FF"/>
        <bgColor indexed="64"/>
      </patternFill>
    </fill>
    <fill>
      <patternFill patternType="solid">
        <fgColor theme="1" tint="0.249977111117893"/>
        <bgColor indexed="64"/>
      </patternFill>
    </fill>
    <fill>
      <patternFill patternType="solid">
        <fgColor rgb="FFFFC000"/>
        <bgColor indexed="64"/>
      </patternFill>
    </fill>
    <fill>
      <patternFill patternType="solid">
        <fgColor theme="0" tint="-0.499984740745262"/>
        <bgColor indexed="64"/>
      </patternFill>
    </fill>
    <fill>
      <patternFill patternType="solid">
        <fgColor rgb="FF00B0F0"/>
        <bgColor indexed="64"/>
      </patternFill>
    </fill>
    <fill>
      <patternFill patternType="solid">
        <fgColor rgb="FF00FFCC"/>
        <bgColor indexed="64"/>
      </patternFill>
    </fill>
    <fill>
      <patternFill patternType="solid">
        <fgColor theme="0"/>
        <bgColor auto="1"/>
      </patternFill>
    </fill>
    <fill>
      <patternFill patternType="solid">
        <fgColor rgb="FFCFFF8E"/>
        <bgColor indexed="64"/>
      </patternFill>
    </fill>
    <fill>
      <patternFill patternType="solid">
        <fgColor rgb="FFF2F2F2"/>
        <bgColor indexed="64"/>
      </patternFill>
    </fill>
  </fills>
  <borders count="35">
    <border>
      <left/>
      <right/>
      <top/>
      <bottom/>
      <diagonal/>
    </border>
    <border>
      <left/>
      <right/>
      <top style="thin">
        <color theme="7"/>
      </top>
      <bottom style="thin">
        <color theme="7"/>
      </bottom>
      <diagonal/>
    </border>
    <border>
      <left/>
      <right/>
      <top/>
      <bottom style="thin">
        <color theme="7"/>
      </bottom>
      <diagonal/>
    </border>
    <border>
      <left/>
      <right/>
      <top style="thin">
        <color theme="7"/>
      </top>
      <bottom/>
      <diagonal/>
    </border>
    <border>
      <left style="thin">
        <color theme="7"/>
      </left>
      <right style="thin">
        <color theme="7"/>
      </right>
      <top style="thin">
        <color theme="7"/>
      </top>
      <bottom style="thin">
        <color theme="7"/>
      </bottom>
      <diagonal/>
    </border>
    <border>
      <left style="thin">
        <color theme="7"/>
      </left>
      <right/>
      <top style="thin">
        <color theme="7"/>
      </top>
      <bottom style="thin">
        <color theme="7"/>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theme="7"/>
      </left>
      <right style="thin">
        <color theme="7"/>
      </right>
      <top/>
      <bottom style="thin">
        <color theme="7"/>
      </bottom>
      <diagonal/>
    </border>
    <border>
      <left style="thin">
        <color auto="1"/>
      </left>
      <right style="thin">
        <color auto="1"/>
      </right>
      <top style="thin">
        <color theme="7"/>
      </top>
      <bottom style="thin">
        <color auto="1"/>
      </bottom>
      <diagonal/>
    </border>
    <border>
      <left/>
      <right/>
      <top style="thin">
        <color indexed="64"/>
      </top>
      <bottom style="thin">
        <color indexed="64"/>
      </bottom>
      <diagonal/>
    </border>
    <border>
      <left/>
      <right/>
      <top/>
      <bottom style="thick">
        <color theme="0"/>
      </bottom>
      <diagonal/>
    </border>
    <border>
      <left/>
      <right style="thin">
        <color theme="7"/>
      </right>
      <top style="thin">
        <color theme="7"/>
      </top>
      <bottom style="thin">
        <color theme="7"/>
      </bottom>
      <diagonal/>
    </border>
    <border>
      <left style="thin">
        <color theme="7"/>
      </left>
      <right/>
      <top/>
      <bottom style="thin">
        <color theme="7"/>
      </bottom>
      <diagonal/>
    </border>
    <border>
      <left/>
      <right style="thin">
        <color theme="7"/>
      </right>
      <top/>
      <bottom style="thin">
        <color theme="7"/>
      </bottom>
      <diagonal/>
    </border>
    <border>
      <left/>
      <right style="thin">
        <color indexed="64"/>
      </right>
      <top style="thin">
        <color theme="7"/>
      </top>
      <bottom/>
      <diagonal/>
    </border>
    <border>
      <left/>
      <right style="thin">
        <color indexed="64"/>
      </right>
      <top/>
      <bottom/>
      <diagonal/>
    </border>
    <border>
      <left/>
      <right style="thin">
        <color indexed="64"/>
      </right>
      <top/>
      <bottom style="thin">
        <color theme="7"/>
      </bottom>
      <diagonal/>
    </border>
    <border>
      <left style="thin">
        <color indexed="64"/>
      </left>
      <right style="thin">
        <color indexed="64"/>
      </right>
      <top/>
      <bottom/>
      <diagonal/>
    </border>
    <border>
      <left style="thin">
        <color theme="7"/>
      </left>
      <right/>
      <top/>
      <bottom/>
      <diagonal/>
    </border>
    <border>
      <left/>
      <right style="thin">
        <color theme="7"/>
      </right>
      <top/>
      <bottom/>
      <diagonal/>
    </border>
    <border>
      <left style="thin">
        <color indexed="64"/>
      </left>
      <right style="thin">
        <color indexed="64"/>
      </right>
      <top style="thin">
        <color indexed="64"/>
      </top>
      <bottom style="thin">
        <color theme="7"/>
      </bottom>
      <diagonal/>
    </border>
    <border>
      <left style="thin">
        <color theme="7"/>
      </left>
      <right/>
      <top style="thin">
        <color theme="7"/>
      </top>
      <bottom/>
      <diagonal/>
    </border>
    <border>
      <left/>
      <right style="thin">
        <color theme="7"/>
      </right>
      <top style="thin">
        <color theme="7"/>
      </top>
      <bottom/>
      <diagonal/>
    </border>
    <border>
      <left style="thin">
        <color theme="7"/>
      </left>
      <right/>
      <top style="thick">
        <color theme="0"/>
      </top>
      <bottom style="thin">
        <color theme="7"/>
      </bottom>
      <diagonal/>
    </border>
    <border>
      <left/>
      <right/>
      <top style="thick">
        <color theme="0"/>
      </top>
      <bottom style="thin">
        <color theme="7"/>
      </bottom>
      <diagonal/>
    </border>
    <border>
      <left/>
      <right style="thin">
        <color theme="7"/>
      </right>
      <top style="thick">
        <color theme="0"/>
      </top>
      <bottom style="thin">
        <color theme="7"/>
      </bottom>
      <diagonal/>
    </border>
    <border>
      <left style="thin">
        <color indexed="64"/>
      </left>
      <right/>
      <top/>
      <bottom/>
      <diagonal/>
    </border>
  </borders>
  <cellStyleXfs count="4">
    <xf numFmtId="0" fontId="0" fillId="0" borderId="0"/>
    <xf numFmtId="0" fontId="5" fillId="0" borderId="0"/>
    <xf numFmtId="9" fontId="6" fillId="0" borderId="0" applyFont="0" applyFill="0" applyBorder="0" applyAlignment="0" applyProtection="0"/>
    <xf numFmtId="9" fontId="9" fillId="0" borderId="0" applyFont="0" applyFill="0" applyBorder="0" applyAlignment="0" applyProtection="0"/>
  </cellStyleXfs>
  <cellXfs count="274">
    <xf numFmtId="0" fontId="0" fillId="0" borderId="0" xfId="0"/>
    <xf numFmtId="0" fontId="0" fillId="0" borderId="0" xfId="0" applyAlignment="1">
      <alignment wrapText="1"/>
    </xf>
    <xf numFmtId="0" fontId="0" fillId="4" borderId="0" xfId="0" applyFill="1"/>
    <xf numFmtId="0" fontId="0" fillId="4" borderId="1" xfId="0" applyFill="1" applyBorder="1" applyAlignment="1"/>
    <xf numFmtId="0" fontId="0" fillId="4" borderId="0" xfId="0" applyFill="1" applyAlignment="1"/>
    <xf numFmtId="0" fontId="0" fillId="5" borderId="0" xfId="0" applyFill="1"/>
    <xf numFmtId="0" fontId="7" fillId="0" borderId="0" xfId="1" applyFont="1"/>
    <xf numFmtId="0" fontId="7" fillId="0" borderId="6" xfId="1" applyFont="1" applyBorder="1" applyAlignment="1">
      <alignment vertical="top"/>
    </xf>
    <xf numFmtId="15" fontId="7" fillId="0" borderId="0" xfId="1" applyNumberFormat="1" applyFont="1"/>
    <xf numFmtId="0" fontId="0" fillId="0" borderId="0" xfId="0" applyFill="1"/>
    <xf numFmtId="0" fontId="7" fillId="4" borderId="6" xfId="1" applyFont="1" applyFill="1" applyBorder="1" applyAlignment="1">
      <alignment vertical="center"/>
    </xf>
    <xf numFmtId="0" fontId="7" fillId="4" borderId="14" xfId="1" applyFont="1" applyFill="1" applyBorder="1" applyAlignment="1">
      <alignment vertical="center"/>
    </xf>
    <xf numFmtId="0" fontId="7" fillId="4" borderId="12" xfId="1" applyFont="1" applyFill="1" applyBorder="1" applyAlignment="1">
      <alignment vertical="center"/>
    </xf>
    <xf numFmtId="0" fontId="15" fillId="5" borderId="0" xfId="0" applyFont="1" applyFill="1"/>
    <xf numFmtId="0" fontId="16" fillId="5" borderId="0" xfId="0" applyFont="1" applyFill="1" applyAlignment="1"/>
    <xf numFmtId="0" fontId="0" fillId="5" borderId="0" xfId="0" applyFill="1" applyAlignment="1">
      <alignment wrapText="1"/>
    </xf>
    <xf numFmtId="0" fontId="17" fillId="5" borderId="0" xfId="0" applyFont="1" applyFill="1" applyAlignment="1"/>
    <xf numFmtId="0" fontId="18" fillId="5" borderId="0" xfId="0" applyFont="1" applyFill="1"/>
    <xf numFmtId="0" fontId="19" fillId="5" borderId="0" xfId="0" applyFont="1" applyFill="1"/>
    <xf numFmtId="0" fontId="20" fillId="5" borderId="0" xfId="0" applyFont="1" applyFill="1" applyAlignment="1">
      <alignment horizontal="left" vertical="center" indent="1"/>
    </xf>
    <xf numFmtId="0" fontId="17" fillId="5" borderId="0" xfId="0" applyFont="1" applyFill="1"/>
    <xf numFmtId="0" fontId="19" fillId="4" borderId="6" xfId="0" applyFont="1" applyFill="1" applyBorder="1"/>
    <xf numFmtId="0" fontId="21" fillId="2" borderId="6" xfId="0" applyFont="1" applyFill="1" applyBorder="1"/>
    <xf numFmtId="0" fontId="19" fillId="2" borderId="6" xfId="0" applyFont="1" applyFill="1" applyBorder="1"/>
    <xf numFmtId="0" fontId="24" fillId="4" borderId="1" xfId="0" applyFont="1" applyFill="1" applyBorder="1" applyAlignment="1">
      <alignment horizontal="right"/>
    </xf>
    <xf numFmtId="0" fontId="14" fillId="4" borderId="1" xfId="0" applyFont="1" applyFill="1" applyBorder="1" applyAlignment="1"/>
    <xf numFmtId="0" fontId="0" fillId="0" borderId="4" xfId="0" applyBorder="1" applyAlignment="1" applyProtection="1">
      <alignment horizontal="center"/>
      <protection locked="0"/>
    </xf>
    <xf numFmtId="0" fontId="0" fillId="0" borderId="4" xfId="0" applyBorder="1" applyProtection="1">
      <protection locked="0"/>
    </xf>
    <xf numFmtId="0" fontId="25" fillId="4" borderId="1" xfId="0" applyFont="1" applyFill="1" applyBorder="1" applyAlignment="1"/>
    <xf numFmtId="0" fontId="0" fillId="5" borderId="1" xfId="0" applyFill="1" applyBorder="1" applyAlignment="1" applyProtection="1">
      <alignment horizontal="center"/>
      <protection locked="0"/>
    </xf>
    <xf numFmtId="0" fontId="0" fillId="0" borderId="0" xfId="0" applyProtection="1">
      <protection locked="0"/>
    </xf>
    <xf numFmtId="0" fontId="0" fillId="0" borderId="4" xfId="0" applyBorder="1" applyAlignment="1" applyProtection="1">
      <alignment horizontal="left"/>
      <protection locked="0"/>
    </xf>
    <xf numFmtId="165" fontId="7" fillId="0" borderId="0" xfId="3" applyNumberFormat="1" applyFont="1"/>
    <xf numFmtId="0" fontId="0" fillId="0" borderId="0" xfId="0" applyProtection="1"/>
    <xf numFmtId="0" fontId="10" fillId="6" borderId="27" xfId="0" applyFont="1" applyFill="1" applyBorder="1" applyAlignment="1">
      <alignment vertical="top"/>
    </xf>
    <xf numFmtId="0" fontId="0" fillId="6" borderId="15" xfId="0" applyFill="1" applyBorder="1"/>
    <xf numFmtId="0" fontId="0" fillId="5" borderId="0" xfId="0" applyFill="1" applyBorder="1"/>
    <xf numFmtId="0" fontId="27" fillId="5" borderId="0" xfId="0" applyFont="1" applyFill="1" applyBorder="1" applyAlignment="1">
      <alignment wrapText="1"/>
    </xf>
    <xf numFmtId="0" fontId="1" fillId="5" borderId="13" xfId="0" applyFont="1" applyFill="1" applyBorder="1" applyAlignment="1" applyProtection="1">
      <alignment vertical="center"/>
    </xf>
    <xf numFmtId="0" fontId="1" fillId="5" borderId="13" xfId="0" applyFont="1" applyFill="1" applyBorder="1" applyAlignment="1" applyProtection="1">
      <alignment horizontal="left" vertical="center" wrapText="1"/>
    </xf>
    <xf numFmtId="0" fontId="1" fillId="5" borderId="13" xfId="0" applyFont="1" applyFill="1" applyBorder="1" applyAlignment="1" applyProtection="1">
      <alignment vertical="center" wrapText="1"/>
    </xf>
    <xf numFmtId="0" fontId="28" fillId="0" borderId="0" xfId="0" applyFont="1"/>
    <xf numFmtId="0" fontId="0" fillId="0" borderId="0" xfId="0" applyFill="1" applyBorder="1" applyAlignment="1">
      <alignment horizontal="right" vertical="center" wrapText="1"/>
    </xf>
    <xf numFmtId="0" fontId="0" fillId="0" borderId="0" xfId="0" applyFill="1" applyBorder="1" applyAlignment="1">
      <alignment horizontal="left" vertical="center" wrapText="1"/>
    </xf>
    <xf numFmtId="0" fontId="0" fillId="0" borderId="0" xfId="0" applyBorder="1"/>
    <xf numFmtId="0" fontId="17" fillId="4" borderId="6" xfId="0" applyFont="1" applyFill="1" applyBorder="1"/>
    <xf numFmtId="0" fontId="29" fillId="2" borderId="6" xfId="0" applyFont="1" applyFill="1" applyBorder="1"/>
    <xf numFmtId="0" fontId="17" fillId="4" borderId="13" xfId="0" applyFont="1" applyFill="1" applyBorder="1"/>
    <xf numFmtId="0" fontId="19" fillId="4" borderId="13" xfId="0" applyFont="1" applyFill="1" applyBorder="1"/>
    <xf numFmtId="0" fontId="29" fillId="2" borderId="28" xfId="0" applyFont="1" applyFill="1" applyBorder="1"/>
    <xf numFmtId="0" fontId="19" fillId="2" borderId="28" xfId="0" applyFont="1" applyFill="1" applyBorder="1"/>
    <xf numFmtId="0" fontId="30" fillId="0" borderId="0" xfId="0" applyFont="1"/>
    <xf numFmtId="0" fontId="31" fillId="0" borderId="0" xfId="0" applyFont="1" applyFill="1" applyAlignment="1">
      <alignment horizontal="center" wrapText="1"/>
    </xf>
    <xf numFmtId="0" fontId="32" fillId="0" borderId="0" xfId="0" applyFont="1"/>
    <xf numFmtId="0" fontId="27" fillId="5" borderId="0" xfId="0" applyFont="1" applyFill="1" applyBorder="1" applyAlignment="1" applyProtection="1">
      <alignment horizontal="center" vertical="center"/>
      <protection locked="0"/>
    </xf>
    <xf numFmtId="0" fontId="24" fillId="4" borderId="2" xfId="0" applyFont="1" applyFill="1" applyBorder="1" applyAlignment="1">
      <alignment horizontal="right"/>
    </xf>
    <xf numFmtId="0" fontId="35" fillId="4" borderId="0" xfId="0" applyFont="1" applyFill="1" applyAlignment="1">
      <alignment wrapText="1"/>
    </xf>
    <xf numFmtId="0" fontId="36" fillId="4" borderId="0" xfId="0" applyFont="1" applyFill="1" applyAlignment="1">
      <alignment wrapText="1"/>
    </xf>
    <xf numFmtId="0" fontId="36" fillId="4" borderId="0" xfId="0" applyFont="1" applyFill="1" applyBorder="1" applyAlignment="1">
      <alignment wrapText="1"/>
    </xf>
    <xf numFmtId="0" fontId="36" fillId="4" borderId="0" xfId="0" applyFont="1" applyFill="1" applyBorder="1"/>
    <xf numFmtId="0" fontId="35" fillId="4" borderId="0" xfId="0" applyFont="1" applyFill="1"/>
    <xf numFmtId="0" fontId="0" fillId="11" borderId="0" xfId="0" applyFill="1" applyAlignment="1">
      <alignment wrapText="1"/>
    </xf>
    <xf numFmtId="0" fontId="3" fillId="12" borderId="0" xfId="0" applyFont="1" applyFill="1" applyBorder="1" applyAlignment="1">
      <alignment horizontal="left" wrapText="1"/>
    </xf>
    <xf numFmtId="0" fontId="3" fillId="11" borderId="0" xfId="0" applyFont="1" applyFill="1" applyBorder="1" applyAlignment="1">
      <alignment wrapText="1"/>
    </xf>
    <xf numFmtId="0" fontId="3" fillId="12" borderId="0" xfId="0" applyFont="1" applyFill="1" applyBorder="1" applyAlignment="1">
      <alignment horizontal="center" vertical="center" wrapText="1"/>
    </xf>
    <xf numFmtId="0" fontId="3" fillId="12" borderId="0" xfId="0" applyFont="1" applyFill="1" applyBorder="1" applyAlignment="1">
      <alignment wrapText="1"/>
    </xf>
    <xf numFmtId="0" fontId="3" fillId="13" borderId="0" xfId="0" applyFont="1" applyFill="1" applyBorder="1" applyAlignment="1">
      <alignment wrapText="1"/>
    </xf>
    <xf numFmtId="0" fontId="1" fillId="14" borderId="0" xfId="0" applyFont="1" applyFill="1" applyBorder="1"/>
    <xf numFmtId="0" fontId="0" fillId="15" borderId="0" xfId="0" applyFill="1" applyAlignment="1">
      <alignment wrapText="1"/>
    </xf>
    <xf numFmtId="0" fontId="3" fillId="15" borderId="0" xfId="0" applyFont="1" applyFill="1" applyBorder="1" applyAlignment="1">
      <alignment wrapText="1"/>
    </xf>
    <xf numFmtId="0" fontId="3" fillId="16" borderId="0" xfId="0" applyFont="1" applyFill="1" applyBorder="1" applyAlignment="1">
      <alignment wrapText="1"/>
    </xf>
    <xf numFmtId="0" fontId="3" fillId="17" borderId="0" xfId="0" applyFont="1" applyFill="1" applyBorder="1" applyAlignment="1">
      <alignment wrapText="1"/>
    </xf>
    <xf numFmtId="0" fontId="3" fillId="18" borderId="0" xfId="0" applyFont="1" applyFill="1" applyBorder="1" applyAlignment="1">
      <alignment wrapText="1"/>
    </xf>
    <xf numFmtId="0" fontId="3" fillId="16" borderId="0" xfId="0" applyFont="1" applyFill="1" applyBorder="1"/>
    <xf numFmtId="0" fontId="3" fillId="17" borderId="0" xfId="0" applyFont="1" applyFill="1" applyBorder="1"/>
    <xf numFmtId="0" fontId="3" fillId="18" borderId="0" xfId="0" applyFont="1" applyFill="1" applyBorder="1"/>
    <xf numFmtId="0" fontId="3" fillId="13" borderId="0" xfId="0" applyFont="1" applyFill="1" applyBorder="1"/>
    <xf numFmtId="0" fontId="0" fillId="0" borderId="0" xfId="0" applyAlignment="1">
      <alignment horizontal="center"/>
    </xf>
    <xf numFmtId="0" fontId="11" fillId="6" borderId="0" xfId="0" applyFont="1" applyFill="1" applyAlignment="1">
      <alignment vertical="center"/>
    </xf>
    <xf numFmtId="0" fontId="37" fillId="6" borderId="0" xfId="0" applyFont="1" applyFill="1" applyAlignment="1">
      <alignment vertical="center"/>
    </xf>
    <xf numFmtId="0" fontId="38" fillId="4" borderId="0" xfId="0" applyFont="1" applyFill="1" applyAlignment="1">
      <alignment vertical="center"/>
    </xf>
    <xf numFmtId="0" fontId="0" fillId="11" borderId="0" xfId="0" applyFill="1" applyAlignment="1">
      <alignment horizontal="center" vertical="center" wrapText="1"/>
    </xf>
    <xf numFmtId="0" fontId="0" fillId="15" borderId="0" xfId="0" applyFill="1" applyAlignment="1">
      <alignment horizontal="center" vertical="center" wrapText="1"/>
    </xf>
    <xf numFmtId="0" fontId="0" fillId="4" borderId="0" xfId="0" applyFill="1" applyAlignment="1">
      <alignment horizontal="center" vertical="center" wrapText="1"/>
    </xf>
    <xf numFmtId="0" fontId="0" fillId="16" borderId="0" xfId="0" applyFill="1" applyAlignment="1">
      <alignment horizontal="left" vertical="center"/>
    </xf>
    <xf numFmtId="0" fontId="0" fillId="16" borderId="0" xfId="0" applyFill="1" applyAlignment="1">
      <alignment horizontal="center" vertical="center" wrapText="1"/>
    </xf>
    <xf numFmtId="0" fontId="3" fillId="17" borderId="0" xfId="0" applyFont="1" applyFill="1" applyAlignment="1">
      <alignment horizontal="center" vertical="center" wrapText="1"/>
    </xf>
    <xf numFmtId="0" fontId="0" fillId="18" borderId="0" xfId="0" applyFill="1" applyAlignment="1">
      <alignment horizontal="left" vertical="center" wrapText="1"/>
    </xf>
    <xf numFmtId="0" fontId="0" fillId="18" borderId="0" xfId="0" applyFill="1" applyAlignment="1">
      <alignment horizontal="center" vertical="center" wrapText="1"/>
    </xf>
    <xf numFmtId="0" fontId="0" fillId="13" borderId="0" xfId="0" applyFill="1" applyAlignment="1">
      <alignment horizontal="center" vertical="center" wrapText="1"/>
    </xf>
    <xf numFmtId="0" fontId="39" fillId="4" borderId="0" xfId="0" applyFont="1" applyFill="1" applyAlignment="1">
      <alignment horizontal="left" vertical="center"/>
    </xf>
    <xf numFmtId="0" fontId="0" fillId="0" borderId="6" xfId="0" applyBorder="1"/>
    <xf numFmtId="2" fontId="3" fillId="0" borderId="0" xfId="0" applyNumberFormat="1" applyFont="1" applyAlignment="1">
      <alignment horizontal="center" vertical="center" wrapText="1"/>
    </xf>
    <xf numFmtId="2" fontId="3" fillId="0" borderId="0" xfId="0" applyNumberFormat="1" applyFont="1" applyAlignment="1">
      <alignment horizontal="center" wrapText="1"/>
    </xf>
    <xf numFmtId="0" fontId="0" fillId="0" borderId="6" xfId="0" applyFill="1" applyBorder="1"/>
    <xf numFmtId="2" fontId="0" fillId="0" borderId="0" xfId="0" applyNumberFormat="1" applyAlignment="1">
      <alignment horizontal="center" wrapText="1"/>
    </xf>
    <xf numFmtId="2" fontId="3" fillId="0" borderId="0" xfId="0" applyNumberFormat="1" applyFont="1" applyAlignment="1">
      <alignment wrapText="1"/>
    </xf>
    <xf numFmtId="2" fontId="0" fillId="0" borderId="0" xfId="0" applyNumberFormat="1" applyAlignment="1">
      <alignment horizontal="center"/>
    </xf>
    <xf numFmtId="2" fontId="3" fillId="0" borderId="0" xfId="0" applyNumberFormat="1" applyFont="1" applyAlignment="1">
      <alignment horizontal="center"/>
    </xf>
    <xf numFmtId="2" fontId="3" fillId="0" borderId="0" xfId="0" applyNumberFormat="1" applyFont="1"/>
    <xf numFmtId="2" fontId="0" fillId="0" borderId="0" xfId="0" applyNumberFormat="1"/>
    <xf numFmtId="2" fontId="3" fillId="0" borderId="0" xfId="0" applyNumberFormat="1" applyFont="1" applyAlignment="1">
      <alignment horizontal="center" vertical="center"/>
    </xf>
    <xf numFmtId="2" fontId="0" fillId="0" borderId="0" xfId="0" applyNumberFormat="1" applyAlignment="1">
      <alignment horizontal="center" vertical="center"/>
    </xf>
    <xf numFmtId="0" fontId="14" fillId="4" borderId="1" xfId="0" applyFont="1" applyFill="1" applyBorder="1" applyAlignment="1">
      <alignment horizontal="center"/>
    </xf>
    <xf numFmtId="0" fontId="41" fillId="0" borderId="0" xfId="0" applyFont="1" applyProtection="1"/>
    <xf numFmtId="0" fontId="40" fillId="5" borderId="5" xfId="0" applyFont="1" applyFill="1" applyBorder="1" applyAlignment="1">
      <alignment horizontal="right" vertical="center" wrapText="1"/>
    </xf>
    <xf numFmtId="0" fontId="27" fillId="5" borderId="19" xfId="0" applyFont="1" applyFill="1" applyBorder="1" applyAlignment="1">
      <alignment horizontal="right" vertical="center" wrapText="1"/>
    </xf>
    <xf numFmtId="0" fontId="38" fillId="0" borderId="19" xfId="0" applyFont="1" applyBorder="1" applyAlignment="1">
      <alignment horizontal="right" vertical="center"/>
    </xf>
    <xf numFmtId="0" fontId="1" fillId="8" borderId="0" xfId="0" applyFont="1" applyFill="1"/>
    <xf numFmtId="0" fontId="0" fillId="2" borderId="1" xfId="0" applyFill="1" applyBorder="1" applyAlignment="1" applyProtection="1">
      <alignment horizontal="center"/>
      <protection locked="0"/>
    </xf>
    <xf numFmtId="0" fontId="0" fillId="2" borderId="2" xfId="0" applyFill="1" applyBorder="1" applyAlignment="1" applyProtection="1">
      <alignment horizontal="center"/>
      <protection locked="0"/>
    </xf>
    <xf numFmtId="0" fontId="44" fillId="8" borderId="5" xfId="0" applyFont="1" applyFill="1" applyBorder="1" applyAlignment="1">
      <alignment horizontal="center" vertical="center" wrapText="1"/>
    </xf>
    <xf numFmtId="0" fontId="45" fillId="8" borderId="19" xfId="0" applyFont="1" applyFill="1" applyBorder="1" applyAlignment="1" applyProtection="1">
      <alignment horizontal="center"/>
    </xf>
    <xf numFmtId="0" fontId="46" fillId="5" borderId="5" xfId="0" applyFont="1" applyFill="1" applyBorder="1" applyAlignment="1" applyProtection="1">
      <alignment horizontal="center" vertical="center" wrapText="1"/>
      <protection locked="0"/>
    </xf>
    <xf numFmtId="0" fontId="42" fillId="5" borderId="19" xfId="0" applyFont="1" applyFill="1" applyBorder="1" applyAlignment="1" applyProtection="1">
      <alignment horizontal="center"/>
      <protection locked="0"/>
    </xf>
    <xf numFmtId="0" fontId="48" fillId="4" borderId="4" xfId="0" applyFont="1" applyFill="1" applyBorder="1" applyAlignment="1" applyProtection="1">
      <alignment horizontal="left" vertical="center" wrapText="1"/>
      <protection locked="0"/>
    </xf>
    <xf numFmtId="0" fontId="48" fillId="4" borderId="4" xfId="0" applyFont="1" applyFill="1" applyBorder="1" applyAlignment="1">
      <alignment horizontal="left" vertical="center" wrapText="1"/>
    </xf>
    <xf numFmtId="0" fontId="48" fillId="4" borderId="4" xfId="0" applyFont="1" applyFill="1" applyBorder="1" applyAlignment="1" applyProtection="1">
      <alignment horizontal="left" vertical="center" wrapText="1"/>
    </xf>
    <xf numFmtId="0" fontId="48" fillId="9" borderId="4" xfId="0" applyFont="1" applyFill="1" applyBorder="1" applyAlignment="1">
      <alignment horizontal="left" vertical="center" wrapText="1"/>
    </xf>
    <xf numFmtId="0" fontId="48" fillId="10" borderId="4" xfId="0" applyFont="1" applyFill="1" applyBorder="1" applyAlignment="1">
      <alignment horizontal="left" vertical="center" wrapText="1"/>
    </xf>
    <xf numFmtId="0" fontId="0" fillId="0" borderId="9" xfId="0" applyBorder="1" applyAlignment="1">
      <alignment vertical="center" textRotation="90"/>
    </xf>
    <xf numFmtId="0" fontId="0" fillId="0" borderId="23" xfId="0" applyBorder="1" applyAlignment="1">
      <alignment vertical="center" textRotation="90"/>
    </xf>
    <xf numFmtId="0" fontId="0" fillId="0" borderId="6" xfId="0" applyBorder="1" applyAlignment="1">
      <alignment vertical="center" textRotation="90"/>
    </xf>
    <xf numFmtId="0" fontId="49" fillId="5" borderId="0" xfId="0" applyFont="1" applyFill="1"/>
    <xf numFmtId="0" fontId="50" fillId="4" borderId="4" xfId="0" applyFont="1" applyFill="1" applyBorder="1" applyAlignment="1">
      <alignment horizontal="center" vertical="center" wrapText="1"/>
    </xf>
    <xf numFmtId="0" fontId="50" fillId="0" borderId="16" xfId="0" applyFont="1" applyBorder="1" applyAlignment="1">
      <alignment horizontal="center"/>
    </xf>
    <xf numFmtId="0" fontId="50" fillId="0" borderId="16" xfId="0" applyFont="1" applyBorder="1" applyAlignment="1">
      <alignment horizontal="left"/>
    </xf>
    <xf numFmtId="0" fontId="50" fillId="0" borderId="13" xfId="0" applyFont="1" applyBorder="1" applyAlignment="1">
      <alignment horizontal="center"/>
    </xf>
    <xf numFmtId="0" fontId="50" fillId="0" borderId="13" xfId="0" applyFont="1" applyBorder="1" applyAlignment="1">
      <alignment horizontal="left"/>
    </xf>
    <xf numFmtId="0" fontId="50" fillId="0" borderId="6" xfId="0" applyFont="1" applyBorder="1" applyAlignment="1">
      <alignment horizontal="center"/>
    </xf>
    <xf numFmtId="0" fontId="50" fillId="0" borderId="6" xfId="0" applyFont="1" applyBorder="1" applyAlignment="1">
      <alignment horizontal="left"/>
    </xf>
    <xf numFmtId="0" fontId="51" fillId="0" borderId="6" xfId="0" applyFont="1" applyBorder="1" applyAlignment="1">
      <alignment horizontal="center"/>
    </xf>
    <xf numFmtId="164" fontId="50" fillId="0" borderId="16" xfId="0" applyNumberFormat="1" applyFont="1" applyBorder="1" applyAlignment="1">
      <alignment horizontal="center"/>
    </xf>
    <xf numFmtId="164" fontId="50" fillId="0" borderId="13" xfId="0" applyNumberFormat="1" applyFont="1" applyBorder="1" applyAlignment="1">
      <alignment horizontal="center"/>
    </xf>
    <xf numFmtId="164" fontId="50" fillId="0" borderId="6" xfId="0" applyNumberFormat="1" applyFont="1" applyBorder="1" applyAlignment="1">
      <alignment horizontal="center"/>
    </xf>
    <xf numFmtId="15" fontId="51" fillId="0" borderId="6" xfId="0" applyNumberFormat="1" applyFont="1" applyBorder="1" applyAlignment="1">
      <alignment horizontal="center"/>
    </xf>
    <xf numFmtId="164" fontId="51" fillId="0" borderId="6" xfId="0" applyNumberFormat="1" applyFont="1" applyBorder="1" applyAlignment="1">
      <alignment horizontal="center"/>
    </xf>
    <xf numFmtId="0" fontId="52" fillId="4" borderId="4" xfId="0" applyFont="1" applyFill="1" applyBorder="1" applyAlignment="1">
      <alignment horizontal="center" vertical="center" wrapText="1"/>
    </xf>
    <xf numFmtId="0" fontId="52" fillId="0" borderId="16" xfId="0" applyFont="1" applyBorder="1" applyAlignment="1">
      <alignment horizontal="center"/>
    </xf>
    <xf numFmtId="0" fontId="52" fillId="0" borderId="16" xfId="0" applyFont="1" applyBorder="1" applyAlignment="1">
      <alignment horizontal="left"/>
    </xf>
    <xf numFmtId="164" fontId="52" fillId="0" borderId="16" xfId="0" applyNumberFormat="1" applyFont="1" applyBorder="1" applyAlignment="1">
      <alignment horizontal="center"/>
    </xf>
    <xf numFmtId="0" fontId="52" fillId="0" borderId="13" xfId="0" applyFont="1" applyBorder="1" applyAlignment="1">
      <alignment horizontal="center"/>
    </xf>
    <xf numFmtId="0" fontId="52" fillId="0" borderId="13" xfId="0" applyFont="1" applyBorder="1" applyAlignment="1">
      <alignment horizontal="left"/>
    </xf>
    <xf numFmtId="164" fontId="52" fillId="0" borderId="13" xfId="0" applyNumberFormat="1" applyFont="1" applyBorder="1" applyAlignment="1">
      <alignment horizontal="center"/>
    </xf>
    <xf numFmtId="0" fontId="53" fillId="21" borderId="19" xfId="0" applyFont="1" applyFill="1" applyBorder="1" applyAlignment="1" applyProtection="1">
      <alignment horizontal="center"/>
    </xf>
    <xf numFmtId="0" fontId="54" fillId="21" borderId="5" xfId="0" applyFont="1" applyFill="1" applyBorder="1" applyAlignment="1" applyProtection="1">
      <alignment horizontal="center" vertical="center" wrapText="1"/>
    </xf>
    <xf numFmtId="0" fontId="48" fillId="5" borderId="0" xfId="0" applyFont="1" applyFill="1"/>
    <xf numFmtId="0" fontId="51" fillId="7" borderId="6" xfId="0" applyFont="1" applyFill="1" applyBorder="1" applyAlignment="1">
      <alignment horizontal="left" vertical="center"/>
    </xf>
    <xf numFmtId="0" fontId="51" fillId="7" borderId="6" xfId="0" applyFont="1" applyFill="1" applyBorder="1" applyAlignment="1">
      <alignment vertical="top" wrapText="1"/>
    </xf>
    <xf numFmtId="0" fontId="50" fillId="5" borderId="6" xfId="0" applyFont="1" applyFill="1" applyBorder="1"/>
    <xf numFmtId="0" fontId="50" fillId="5" borderId="6" xfId="0" applyFont="1" applyFill="1" applyBorder="1" applyAlignment="1"/>
    <xf numFmtId="0" fontId="52" fillId="0" borderId="16" xfId="0" applyFont="1" applyBorder="1" applyAlignment="1" applyProtection="1">
      <alignment horizontal="left" vertical="center"/>
      <protection locked="0"/>
    </xf>
    <xf numFmtId="0" fontId="52" fillId="0" borderId="6" xfId="0" applyFont="1" applyBorder="1" applyAlignment="1" applyProtection="1">
      <alignment horizontal="left" vertical="center"/>
      <protection locked="0"/>
    </xf>
    <xf numFmtId="0" fontId="52" fillId="0" borderId="6" xfId="0" applyFont="1" applyBorder="1" applyAlignment="1" applyProtection="1">
      <alignment vertical="center" wrapText="1"/>
      <protection locked="0"/>
    </xf>
    <xf numFmtId="0" fontId="52" fillId="2" borderId="6" xfId="0" applyFont="1" applyFill="1" applyBorder="1" applyAlignment="1" applyProtection="1">
      <alignment horizontal="center" vertical="center"/>
    </xf>
    <xf numFmtId="0" fontId="52" fillId="2" borderId="6" xfId="0" applyFont="1" applyFill="1" applyBorder="1" applyAlignment="1" applyProtection="1">
      <alignment horizontal="left" vertical="center" wrapText="1"/>
    </xf>
    <xf numFmtId="0" fontId="52" fillId="2" borderId="6" xfId="0" applyFont="1" applyFill="1" applyBorder="1" applyAlignment="1" applyProtection="1">
      <alignment vertical="center" wrapText="1"/>
    </xf>
    <xf numFmtId="9" fontId="52" fillId="0" borderId="6" xfId="3" applyFont="1" applyBorder="1" applyAlignment="1" applyProtection="1">
      <alignment horizontal="center" vertical="center"/>
      <protection locked="0"/>
    </xf>
    <xf numFmtId="0" fontId="52" fillId="0" borderId="6" xfId="0" applyFont="1" applyBorder="1" applyAlignment="1" applyProtection="1">
      <alignment horizontal="center" vertical="center"/>
      <protection locked="0"/>
    </xf>
    <xf numFmtId="165" fontId="52" fillId="0" borderId="6" xfId="3" applyNumberFormat="1" applyFont="1" applyBorder="1" applyAlignment="1" applyProtection="1">
      <alignment horizontal="center" vertical="center"/>
      <protection locked="0"/>
    </xf>
    <xf numFmtId="0" fontId="52" fillId="2" borderId="6" xfId="0" applyNumberFormat="1" applyFont="1" applyFill="1" applyBorder="1" applyAlignment="1" applyProtection="1">
      <alignment horizontal="left" vertical="center" wrapText="1"/>
    </xf>
    <xf numFmtId="0" fontId="52" fillId="2" borderId="6" xfId="0" applyNumberFormat="1" applyFont="1" applyFill="1" applyBorder="1" applyAlignment="1" applyProtection="1">
      <alignment horizontal="left" vertical="center"/>
    </xf>
    <xf numFmtId="0" fontId="52" fillId="2" borderId="6" xfId="0" applyNumberFormat="1" applyFont="1" applyFill="1" applyBorder="1" applyAlignment="1" applyProtection="1">
      <alignment vertical="center" wrapText="1"/>
    </xf>
    <xf numFmtId="0" fontId="52" fillId="0" borderId="6" xfId="0" applyNumberFormat="1" applyFont="1" applyBorder="1" applyAlignment="1" applyProtection="1">
      <alignment horizontal="center" vertical="center"/>
      <protection locked="0"/>
    </xf>
    <xf numFmtId="0" fontId="52" fillId="2" borderId="6" xfId="0" applyNumberFormat="1" applyFont="1" applyFill="1" applyBorder="1" applyAlignment="1" applyProtection="1">
      <alignment horizontal="center" vertical="center"/>
    </xf>
    <xf numFmtId="0" fontId="48" fillId="4" borderId="4" xfId="0" applyFont="1" applyFill="1" applyBorder="1" applyAlignment="1">
      <alignment horizontal="center" vertical="center" wrapText="1"/>
    </xf>
    <xf numFmtId="0" fontId="48" fillId="4" borderId="4" xfId="0" applyFont="1" applyFill="1" applyBorder="1" applyAlignment="1" applyProtection="1">
      <alignment horizontal="center" vertical="center" wrapText="1"/>
    </xf>
    <xf numFmtId="0" fontId="0" fillId="0" borderId="6" xfId="0" applyBorder="1" applyAlignment="1">
      <alignment horizontal="center"/>
    </xf>
    <xf numFmtId="0" fontId="0" fillId="0" borderId="6" xfId="0" applyBorder="1" applyAlignment="1">
      <alignment horizontal="left"/>
    </xf>
    <xf numFmtId="164" fontId="0" fillId="0" borderId="6" xfId="0" applyNumberFormat="1" applyBorder="1" applyAlignment="1">
      <alignment horizontal="center"/>
    </xf>
    <xf numFmtId="0" fontId="0" fillId="0" borderId="27" xfId="0" applyBorder="1"/>
    <xf numFmtId="0" fontId="7" fillId="5" borderId="6" xfId="1" applyFont="1" applyFill="1" applyBorder="1" applyAlignment="1">
      <alignment vertical="top"/>
    </xf>
    <xf numFmtId="0" fontId="7" fillId="5" borderId="7" xfId="1" applyFont="1" applyFill="1" applyBorder="1" applyAlignment="1">
      <alignment vertical="top"/>
    </xf>
    <xf numFmtId="0" fontId="7" fillId="5" borderId="8" xfId="1" applyFont="1" applyFill="1" applyBorder="1" applyAlignment="1">
      <alignment vertical="top"/>
    </xf>
    <xf numFmtId="0" fontId="7" fillId="0" borderId="0" xfId="1" applyFont="1" applyAlignment="1">
      <alignment vertical="top"/>
    </xf>
    <xf numFmtId="0" fontId="7" fillId="0" borderId="13" xfId="1" applyFont="1" applyFill="1" applyBorder="1" applyAlignment="1">
      <alignment vertical="top"/>
    </xf>
    <xf numFmtId="0" fontId="7" fillId="0" borderId="13" xfId="1" applyFont="1" applyFill="1" applyBorder="1" applyAlignment="1">
      <alignment vertical="top" wrapText="1"/>
    </xf>
    <xf numFmtId="0" fontId="7" fillId="0" borderId="6" xfId="1" applyFont="1" applyFill="1" applyBorder="1" applyAlignment="1">
      <alignment vertical="top"/>
    </xf>
    <xf numFmtId="0" fontId="7" fillId="0" borderId="6" xfId="1" applyFont="1" applyFill="1" applyBorder="1" applyAlignment="1">
      <alignment vertical="top" wrapText="1"/>
    </xf>
    <xf numFmtId="0" fontId="7" fillId="0" borderId="8" xfId="1" applyFont="1" applyFill="1" applyBorder="1" applyAlignment="1">
      <alignment vertical="top" wrapText="1"/>
    </xf>
    <xf numFmtId="0" fontId="7" fillId="5" borderId="9" xfId="1" applyFont="1" applyFill="1" applyBorder="1" applyAlignment="1">
      <alignment vertical="top"/>
    </xf>
    <xf numFmtId="0" fontId="7" fillId="5" borderId="11" xfId="1" applyFont="1" applyFill="1" applyBorder="1" applyAlignment="1">
      <alignment vertical="top"/>
    </xf>
    <xf numFmtId="9" fontId="8" fillId="0" borderId="0" xfId="2" applyFont="1" applyAlignment="1">
      <alignment vertical="top"/>
    </xf>
    <xf numFmtId="15" fontId="7" fillId="0" borderId="0" xfId="1" applyNumberFormat="1" applyFont="1" applyAlignment="1">
      <alignment vertical="top"/>
    </xf>
    <xf numFmtId="0" fontId="7" fillId="0" borderId="8" xfId="1" applyFont="1" applyFill="1" applyBorder="1" applyAlignment="1">
      <alignment vertical="top"/>
    </xf>
    <xf numFmtId="0" fontId="7" fillId="0" borderId="7" xfId="1" applyFont="1" applyFill="1" applyBorder="1" applyAlignment="1">
      <alignment vertical="top"/>
    </xf>
    <xf numFmtId="0" fontId="7" fillId="0" borderId="10" xfId="1" applyFont="1" applyFill="1" applyBorder="1" applyAlignment="1">
      <alignment vertical="top"/>
    </xf>
    <xf numFmtId="0" fontId="7" fillId="0" borderId="11" xfId="1" applyFont="1" applyFill="1" applyBorder="1" applyAlignment="1">
      <alignment vertical="top"/>
    </xf>
    <xf numFmtId="0" fontId="7" fillId="0" borderId="9" xfId="1" applyFont="1" applyFill="1" applyBorder="1" applyAlignment="1">
      <alignment vertical="top"/>
    </xf>
    <xf numFmtId="0" fontId="7" fillId="0" borderId="0" xfId="1" applyFont="1" applyBorder="1" applyAlignment="1">
      <alignment vertical="top"/>
    </xf>
    <xf numFmtId="9" fontId="52" fillId="0" borderId="6" xfId="0" applyNumberFormat="1" applyFont="1" applyBorder="1" applyAlignment="1" applyProtection="1">
      <alignment horizontal="center" vertical="center"/>
      <protection locked="0"/>
    </xf>
    <xf numFmtId="0" fontId="52" fillId="0" borderId="13" xfId="0" applyFont="1" applyBorder="1" applyAlignment="1" applyProtection="1">
      <alignment vertical="center" wrapText="1"/>
    </xf>
    <xf numFmtId="0" fontId="52" fillId="0" borderId="6" xfId="0" applyFont="1" applyBorder="1" applyAlignment="1" applyProtection="1">
      <alignment vertical="center" wrapText="1"/>
    </xf>
    <xf numFmtId="0" fontId="27" fillId="5" borderId="34" xfId="0" applyNumberFormat="1" applyFont="1" applyFill="1" applyBorder="1" applyAlignment="1" applyProtection="1">
      <alignment horizontal="center" vertical="center"/>
      <protection locked="0"/>
    </xf>
    <xf numFmtId="0" fontId="52" fillId="0" borderId="8" xfId="0" applyFont="1" applyBorder="1" applyAlignment="1" applyProtection="1">
      <alignment horizontal="center" vertical="center"/>
      <protection locked="0"/>
    </xf>
    <xf numFmtId="0" fontId="52" fillId="0" borderId="13" xfId="0" applyFont="1" applyBorder="1" applyAlignment="1" applyProtection="1">
      <alignment horizontal="left" vertical="center"/>
    </xf>
    <xf numFmtId="0" fontId="11" fillId="6" borderId="2" xfId="0" applyFont="1" applyFill="1" applyBorder="1" applyAlignment="1">
      <alignment horizontal="left" vertical="center"/>
    </xf>
    <xf numFmtId="0" fontId="52" fillId="0" borderId="13" xfId="0" applyFont="1" applyBorder="1" applyAlignment="1" applyProtection="1">
      <alignment horizontal="left" vertical="center"/>
      <protection locked="0"/>
    </xf>
    <xf numFmtId="0" fontId="7" fillId="5" borderId="0" xfId="1" applyFont="1" applyFill="1" applyBorder="1" applyAlignment="1">
      <alignment vertical="top"/>
    </xf>
    <xf numFmtId="0" fontId="7" fillId="0" borderId="10" xfId="1" applyFont="1" applyFill="1" applyBorder="1" applyAlignment="1">
      <alignment vertical="top" wrapText="1"/>
    </xf>
    <xf numFmtId="0" fontId="11" fillId="6" borderId="0" xfId="0" applyFont="1" applyFill="1" applyBorder="1" applyAlignment="1">
      <alignment horizontal="left" vertical="center"/>
    </xf>
    <xf numFmtId="1" fontId="52" fillId="0" borderId="6" xfId="0" applyNumberFormat="1" applyFont="1" applyBorder="1" applyAlignment="1" applyProtection="1">
      <alignment horizontal="center" vertical="center"/>
      <protection locked="0"/>
    </xf>
    <xf numFmtId="0" fontId="52" fillId="0" borderId="6" xfId="3" applyNumberFormat="1" applyFont="1" applyBorder="1" applyAlignment="1" applyProtection="1">
      <alignment horizontal="center" vertical="center"/>
      <protection locked="0"/>
    </xf>
    <xf numFmtId="167" fontId="52" fillId="0" borderId="6" xfId="3" applyNumberFormat="1" applyFont="1" applyBorder="1" applyAlignment="1" applyProtection="1">
      <alignment horizontal="center" vertical="center"/>
      <protection locked="0"/>
    </xf>
    <xf numFmtId="0" fontId="12" fillId="4" borderId="4" xfId="0" applyFont="1" applyFill="1" applyBorder="1" applyAlignment="1">
      <alignment horizontal="center" vertical="center" wrapText="1"/>
    </xf>
    <xf numFmtId="0" fontId="7" fillId="0" borderId="7" xfId="1" applyFont="1" applyFill="1" applyBorder="1" applyAlignment="1">
      <alignment vertical="center"/>
    </xf>
    <xf numFmtId="0" fontId="7" fillId="0" borderId="0" xfId="1" applyFont="1" applyFill="1"/>
    <xf numFmtId="0" fontId="7" fillId="0" borderId="6" xfId="1" applyFont="1" applyFill="1" applyBorder="1"/>
    <xf numFmtId="0" fontId="7" fillId="0" borderId="25" xfId="1" applyFont="1" applyFill="1" applyBorder="1"/>
    <xf numFmtId="0" fontId="7" fillId="0" borderId="12" xfId="1" applyFont="1" applyFill="1" applyBorder="1" applyAlignment="1">
      <alignment vertical="top"/>
    </xf>
    <xf numFmtId="0" fontId="7" fillId="0" borderId="10" xfId="1" applyFont="1" applyFill="1" applyBorder="1" applyAlignment="1">
      <alignment horizontal="left" vertical="top" wrapText="1"/>
    </xf>
    <xf numFmtId="0" fontId="52" fillId="2" borderId="6" xfId="0" applyNumberFormat="1" applyFont="1" applyFill="1" applyBorder="1" applyAlignment="1" applyProtection="1">
      <alignment horizontal="left" vertical="center" wrapText="1"/>
      <protection locked="0"/>
    </xf>
    <xf numFmtId="0" fontId="52" fillId="2" borderId="6" xfId="0" applyNumberFormat="1" applyFont="1" applyFill="1" applyBorder="1" applyAlignment="1" applyProtection="1">
      <alignment horizontal="left" vertical="center"/>
      <protection locked="0"/>
    </xf>
    <xf numFmtId="0" fontId="52" fillId="2" borderId="6" xfId="0" applyNumberFormat="1" applyFont="1" applyFill="1" applyBorder="1" applyAlignment="1" applyProtection="1">
      <alignment vertical="center" wrapText="1"/>
      <protection locked="0"/>
    </xf>
    <xf numFmtId="0" fontId="52" fillId="2" borderId="6" xfId="0" applyFont="1" applyFill="1" applyBorder="1" applyAlignment="1" applyProtection="1">
      <alignment horizontal="center" vertical="center"/>
      <protection locked="0"/>
    </xf>
    <xf numFmtId="0" fontId="50" fillId="5" borderId="6" xfId="0" applyFont="1" applyFill="1" applyBorder="1" applyAlignment="1">
      <alignment horizontal="left"/>
    </xf>
    <xf numFmtId="0" fontId="50" fillId="5" borderId="6" xfId="0" applyFont="1" applyFill="1" applyBorder="1" applyAlignment="1">
      <alignment horizontal="center"/>
    </xf>
    <xf numFmtId="0" fontId="16" fillId="5" borderId="0" xfId="0" applyFont="1" applyFill="1" applyAlignment="1">
      <alignment horizontal="left" vertical="top" wrapText="1"/>
    </xf>
    <xf numFmtId="0" fontId="51" fillId="7" borderId="6" xfId="0" applyFont="1" applyFill="1" applyBorder="1" applyAlignment="1">
      <alignment horizontal="left" vertical="center" wrapText="1"/>
    </xf>
    <xf numFmtId="0" fontId="51" fillId="7" borderId="6" xfId="0" applyFont="1" applyFill="1" applyBorder="1" applyAlignment="1">
      <alignment horizontal="left" vertical="center"/>
    </xf>
    <xf numFmtId="0" fontId="11" fillId="6" borderId="0" xfId="0" applyFont="1" applyFill="1" applyAlignment="1">
      <alignment horizontal="left" vertical="center"/>
    </xf>
    <xf numFmtId="0" fontId="11" fillId="6" borderId="27" xfId="0" applyFont="1" applyFill="1" applyBorder="1" applyAlignment="1">
      <alignment horizontal="left" vertical="center"/>
    </xf>
    <xf numFmtId="0" fontId="11" fillId="6" borderId="2" xfId="0" applyFont="1" applyFill="1" applyBorder="1" applyAlignment="1">
      <alignment horizontal="left" vertical="center"/>
    </xf>
    <xf numFmtId="0" fontId="11" fillId="6" borderId="21" xfId="0" applyFont="1" applyFill="1" applyBorder="1" applyAlignment="1">
      <alignment horizontal="left" vertical="center"/>
    </xf>
    <xf numFmtId="0" fontId="55" fillId="3" borderId="26" xfId="0" applyFont="1" applyFill="1" applyBorder="1" applyAlignment="1">
      <alignment horizontal="center" vertical="top"/>
    </xf>
    <xf numFmtId="0" fontId="55" fillId="3" borderId="0" xfId="0" applyFont="1" applyFill="1" applyBorder="1" applyAlignment="1">
      <alignment horizontal="center" vertical="top"/>
    </xf>
    <xf numFmtId="0" fontId="55" fillId="3" borderId="20" xfId="0" applyFont="1" applyFill="1" applyBorder="1" applyAlignment="1">
      <alignment horizontal="center" vertical="top"/>
    </xf>
    <xf numFmtId="0" fontId="55" fillId="3" borderId="2" xfId="0" applyFont="1" applyFill="1" applyBorder="1" applyAlignment="1">
      <alignment horizontal="center" vertical="top"/>
    </xf>
    <xf numFmtId="0" fontId="55" fillId="3" borderId="21" xfId="0" applyFont="1" applyFill="1" applyBorder="1" applyAlignment="1">
      <alignment horizontal="center" vertical="top"/>
    </xf>
    <xf numFmtId="0" fontId="52" fillId="4" borderId="6" xfId="0" applyFont="1" applyFill="1" applyBorder="1" applyAlignment="1">
      <alignment horizontal="right" vertical="center"/>
    </xf>
    <xf numFmtId="0" fontId="52" fillId="0" borderId="6" xfId="0" applyFont="1" applyBorder="1" applyAlignment="1">
      <alignment horizontal="left" vertical="center"/>
    </xf>
    <xf numFmtId="0" fontId="48" fillId="3" borderId="18" xfId="0" applyFont="1" applyFill="1" applyBorder="1" applyAlignment="1">
      <alignment horizontal="left" vertical="center"/>
    </xf>
    <xf numFmtId="0" fontId="12" fillId="3" borderId="18" xfId="0" applyFont="1" applyFill="1" applyBorder="1" applyAlignment="1">
      <alignment horizontal="left" vertical="center"/>
    </xf>
    <xf numFmtId="0" fontId="11" fillId="6" borderId="0" xfId="0" applyFont="1" applyFill="1" applyAlignment="1">
      <alignment horizontal="center" vertical="center"/>
    </xf>
    <xf numFmtId="0" fontId="12" fillId="3" borderId="0" xfId="0" applyFont="1" applyFill="1" applyBorder="1" applyAlignment="1">
      <alignment horizontal="left" vertical="center"/>
    </xf>
    <xf numFmtId="0" fontId="13" fillId="0" borderId="2" xfId="0" applyFont="1" applyBorder="1" applyAlignment="1">
      <alignment horizontal="left"/>
    </xf>
    <xf numFmtId="0" fontId="51" fillId="0" borderId="8" xfId="0" applyFont="1" applyBorder="1" applyAlignment="1">
      <alignment horizontal="right"/>
    </xf>
    <xf numFmtId="0" fontId="51" fillId="0" borderId="17" xfId="0" applyFont="1" applyBorder="1" applyAlignment="1">
      <alignment horizontal="right"/>
    </xf>
    <xf numFmtId="0" fontId="51" fillId="0" borderId="7" xfId="0" applyFont="1" applyBorder="1" applyAlignment="1">
      <alignment horizontal="right"/>
    </xf>
    <xf numFmtId="0" fontId="52" fillId="0" borderId="8" xfId="0" applyFont="1" applyBorder="1" applyAlignment="1">
      <alignment horizontal="left" vertical="center"/>
    </xf>
    <xf numFmtId="0" fontId="52" fillId="0" borderId="17" xfId="0" applyFont="1" applyBorder="1" applyAlignment="1">
      <alignment horizontal="left" vertical="center"/>
    </xf>
    <xf numFmtId="0" fontId="52" fillId="0" borderId="7" xfId="0" applyFont="1" applyBorder="1" applyAlignment="1">
      <alignment horizontal="left" vertical="center"/>
    </xf>
    <xf numFmtId="0" fontId="52" fillId="4" borderId="1" xfId="0" applyFont="1" applyFill="1" applyBorder="1" applyAlignment="1">
      <alignment horizontal="right" vertical="center" wrapText="1"/>
    </xf>
    <xf numFmtId="0" fontId="52" fillId="4" borderId="19" xfId="0" applyFont="1" applyFill="1" applyBorder="1" applyAlignment="1">
      <alignment horizontal="right" vertical="center" wrapText="1"/>
    </xf>
    <xf numFmtId="0" fontId="52" fillId="5" borderId="31" xfId="0" applyFont="1" applyFill="1" applyBorder="1" applyAlignment="1">
      <alignment horizontal="left" vertical="center" wrapText="1"/>
    </xf>
    <xf numFmtId="0" fontId="52" fillId="5" borderId="32" xfId="0" applyFont="1" applyFill="1" applyBorder="1" applyAlignment="1">
      <alignment horizontal="left" vertical="center" wrapText="1"/>
    </xf>
    <xf numFmtId="0" fontId="52" fillId="5" borderId="33" xfId="0" applyFont="1" applyFill="1" applyBorder="1" applyAlignment="1">
      <alignment horizontal="left" vertical="center" wrapText="1"/>
    </xf>
    <xf numFmtId="0" fontId="30" fillId="0" borderId="0" xfId="0" applyFont="1" applyAlignment="1">
      <alignment horizontal="center"/>
    </xf>
    <xf numFmtId="0" fontId="0" fillId="2" borderId="22" xfId="0" applyFill="1" applyBorder="1" applyAlignment="1">
      <alignment horizontal="center" vertical="center" textRotation="90" wrapText="1"/>
    </xf>
    <xf numFmtId="0" fontId="0" fillId="2" borderId="23" xfId="0" applyFill="1" applyBorder="1" applyAlignment="1">
      <alignment horizontal="center" vertical="center" textRotation="90" wrapText="1"/>
    </xf>
    <xf numFmtId="0" fontId="0" fillId="2" borderId="24" xfId="0" applyFill="1" applyBorder="1" applyAlignment="1">
      <alignment horizontal="center" vertical="center" textRotation="90" wrapText="1"/>
    </xf>
    <xf numFmtId="0" fontId="12" fillId="20" borderId="20" xfId="0" applyFont="1" applyFill="1" applyBorder="1" applyAlignment="1" applyProtection="1">
      <alignment horizontal="center" vertical="center" wrapText="1"/>
      <protection locked="0"/>
    </xf>
    <xf numFmtId="0" fontId="12" fillId="20" borderId="21" xfId="0" applyFont="1" applyFill="1" applyBorder="1" applyAlignment="1" applyProtection="1">
      <alignment horizontal="center" vertical="center" wrapText="1"/>
      <protection locked="0"/>
    </xf>
    <xf numFmtId="0" fontId="26" fillId="20" borderId="5" xfId="0" applyFont="1" applyFill="1" applyBorder="1" applyAlignment="1" applyProtection="1">
      <alignment horizontal="center" vertical="center" wrapText="1"/>
      <protection locked="0"/>
    </xf>
    <xf numFmtId="0" fontId="26" fillId="20" borderId="19" xfId="0" applyFont="1" applyFill="1" applyBorder="1" applyAlignment="1" applyProtection="1">
      <alignment horizontal="center" vertical="center" wrapText="1"/>
      <protection locked="0"/>
    </xf>
    <xf numFmtId="0" fontId="26" fillId="5" borderId="29" xfId="0" applyFont="1" applyFill="1" applyBorder="1" applyAlignment="1" applyProtection="1">
      <alignment horizontal="center" vertical="center" wrapText="1"/>
      <protection locked="0"/>
    </xf>
    <xf numFmtId="0" fontId="26" fillId="5" borderId="30" xfId="0" applyFont="1" applyFill="1" applyBorder="1" applyAlignment="1" applyProtection="1">
      <alignment horizontal="center" vertical="center" wrapText="1"/>
      <protection locked="0"/>
    </xf>
    <xf numFmtId="0" fontId="12" fillId="3" borderId="0" xfId="0" applyFont="1" applyFill="1" applyAlignment="1">
      <alignment horizontal="left" vertical="center"/>
    </xf>
    <xf numFmtId="0" fontId="42" fillId="0" borderId="29" xfId="0" applyFont="1" applyBorder="1" applyAlignment="1">
      <alignment horizontal="left" vertical="top" wrapText="1"/>
    </xf>
    <xf numFmtId="0" fontId="3" fillId="0" borderId="3" xfId="0" applyFont="1" applyBorder="1" applyAlignment="1">
      <alignment horizontal="left" vertical="top"/>
    </xf>
    <xf numFmtId="0" fontId="3" fillId="0" borderId="30" xfId="0" applyFont="1" applyBorder="1" applyAlignment="1">
      <alignment horizontal="left" vertical="top"/>
    </xf>
    <xf numFmtId="0" fontId="3" fillId="0" borderId="26" xfId="0" applyFont="1" applyBorder="1" applyAlignment="1">
      <alignment horizontal="left" vertical="top"/>
    </xf>
    <xf numFmtId="0" fontId="3" fillId="0" borderId="0" xfId="0" applyFont="1" applyBorder="1" applyAlignment="1">
      <alignment horizontal="left" vertical="top"/>
    </xf>
    <xf numFmtId="0" fontId="3" fillId="0" borderId="27" xfId="0" applyFont="1" applyBorder="1" applyAlignment="1">
      <alignment horizontal="left" vertical="top"/>
    </xf>
    <xf numFmtId="0" fontId="3" fillId="0" borderId="20" xfId="0" applyFont="1" applyBorder="1" applyAlignment="1">
      <alignment horizontal="left" vertical="top"/>
    </xf>
    <xf numFmtId="0" fontId="3" fillId="0" borderId="2" xfId="0" applyFont="1" applyBorder="1" applyAlignment="1">
      <alignment horizontal="left" vertical="top"/>
    </xf>
    <xf numFmtId="0" fontId="3" fillId="0" borderId="21" xfId="0" applyFont="1" applyBorder="1" applyAlignment="1">
      <alignment horizontal="left" vertical="top"/>
    </xf>
    <xf numFmtId="0" fontId="0" fillId="19" borderId="0" xfId="0" applyFill="1" applyAlignment="1">
      <alignment horizontal="center"/>
    </xf>
    <xf numFmtId="0" fontId="3" fillId="11" borderId="0" xfId="0" applyFont="1" applyFill="1" applyBorder="1" applyAlignment="1">
      <alignment horizontal="left" wrapText="1"/>
    </xf>
    <xf numFmtId="0" fontId="3" fillId="12" borderId="0" xfId="0" applyFont="1" applyFill="1" applyBorder="1" applyAlignment="1">
      <alignment horizontal="left" wrapText="1"/>
    </xf>
    <xf numFmtId="0" fontId="3" fillId="13" borderId="0" xfId="0" applyFont="1" applyFill="1" applyBorder="1" applyAlignment="1">
      <alignment horizontal="left" wrapText="1"/>
    </xf>
    <xf numFmtId="0" fontId="1" fillId="14" borderId="0" xfId="0" applyFont="1" applyFill="1" applyBorder="1" applyAlignment="1">
      <alignment horizontal="left"/>
    </xf>
    <xf numFmtId="166" fontId="52" fillId="11" borderId="6" xfId="3" applyNumberFormat="1" applyFont="1" applyFill="1" applyBorder="1" applyAlignment="1" applyProtection="1">
      <alignment horizontal="center" vertical="center"/>
      <protection locked="0"/>
    </xf>
    <xf numFmtId="49" fontId="52" fillId="0" borderId="6" xfId="0" applyNumberFormat="1" applyFont="1" applyBorder="1" applyAlignment="1" applyProtection="1">
      <alignment horizontal="center" vertical="center"/>
      <protection locked="0"/>
    </xf>
  </cellXfs>
  <cellStyles count="4">
    <cellStyle name="Normal" xfId="0" builtinId="0"/>
    <cellStyle name="Normal 2" xfId="1" xr:uid="{00000000-0005-0000-0000-000001000000}"/>
    <cellStyle name="Percent" xfId="3" builtinId="5"/>
    <cellStyle name="Percent 2" xfId="2" xr:uid="{00000000-0005-0000-0000-000003000000}"/>
  </cellStyles>
  <dxfs count="236">
    <dxf>
      <font>
        <b val="0"/>
        <i val="0"/>
        <strike val="0"/>
        <condense val="0"/>
        <extend val="0"/>
        <outline val="0"/>
        <shadow val="0"/>
        <u val="none"/>
        <vertAlign val="baseline"/>
        <sz val="10"/>
        <color auto="1"/>
        <name val="Work Sans"/>
        <scheme val="major"/>
      </font>
      <fill>
        <patternFill patternType="solid">
          <fgColor indexed="64"/>
          <bgColor theme="0"/>
        </patternFill>
      </fill>
      <alignment horizontal="general"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Work Sans"/>
        <scheme val="major"/>
      </font>
      <fill>
        <patternFill patternType="solid">
          <fgColor indexed="64"/>
          <bgColor theme="0"/>
        </patternFill>
      </fill>
      <alignment horizontal="general" vertical="top"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top" textRotation="0" indent="0" justifyLastLine="0" shrinkToFit="0" readingOrder="0"/>
    </dxf>
    <dxf>
      <border outline="0">
        <bottom style="thin">
          <color indexed="64"/>
        </bottom>
      </border>
    </dxf>
    <dxf>
      <font>
        <b val="0"/>
        <i val="0"/>
        <strike val="0"/>
        <condense val="0"/>
        <extend val="0"/>
        <outline val="0"/>
        <shadow val="0"/>
        <u val="none"/>
        <vertAlign val="baseline"/>
        <sz val="10"/>
        <color auto="1"/>
        <name val="Work Sans"/>
        <scheme val="major"/>
      </font>
      <fill>
        <patternFill patternType="solid">
          <fgColor indexed="64"/>
          <bgColor theme="4" tint="0.39997558519241921"/>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Work Sans"/>
        <scheme val="major"/>
      </font>
      <fill>
        <patternFill patternType="none">
          <fgColor indexed="64"/>
          <bgColor auto="1"/>
        </patternFill>
      </fil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Work Sans"/>
        <scheme val="major"/>
      </font>
      <fill>
        <patternFill patternType="none">
          <fgColor indexed="64"/>
          <bgColor auto="1"/>
        </patternFill>
      </fil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Work Sans"/>
        <scheme val="major"/>
      </font>
      <fill>
        <patternFill patternType="none">
          <fgColor indexed="64"/>
          <bgColor auto="1"/>
        </patternFill>
      </fil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Work Sans"/>
        <scheme val="major"/>
      </font>
      <fill>
        <patternFill patternType="none">
          <fgColor indexed="64"/>
          <bgColor auto="1"/>
        </patternFill>
      </fill>
      <alignment horizontal="general" vertical="top" textRotation="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0"/>
        <color auto="1"/>
        <name val="Work Sans"/>
        <scheme val="major"/>
      </font>
      <fill>
        <patternFill patternType="none">
          <fgColor indexed="64"/>
          <bgColor auto="1"/>
        </patternFill>
      </fil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Work Sans"/>
        <scheme val="major"/>
      </font>
      <fill>
        <patternFill patternType="none">
          <fgColor indexed="64"/>
          <bgColor auto="1"/>
        </patternFill>
      </fil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Work Sans"/>
        <scheme val="major"/>
      </font>
      <fill>
        <patternFill patternType="none">
          <fgColor indexed="64"/>
          <bgColor auto="1"/>
        </patternFill>
      </fil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Work Sans"/>
        <scheme val="major"/>
      </font>
      <fill>
        <patternFill patternType="none">
          <fgColor indexed="64"/>
          <bgColor auto="1"/>
        </patternFill>
      </fil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Work Sans"/>
        <scheme val="major"/>
      </font>
      <fill>
        <patternFill patternType="none">
          <fgColor indexed="64"/>
          <bgColor auto="1"/>
        </patternFill>
      </fil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Work Sans"/>
        <scheme val="major"/>
      </font>
      <fill>
        <patternFill patternType="none">
          <fgColor indexed="64"/>
          <bgColor auto="1"/>
        </patternFill>
      </fill>
      <alignment horizontal="general" vertical="top"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indexed="64"/>
        </left>
        <right style="thin">
          <color indexed="64"/>
        </right>
        <bottom style="thin">
          <color indexed="64"/>
        </bottom>
      </border>
    </dxf>
    <dxf>
      <font>
        <strike val="0"/>
        <outline val="0"/>
        <shadow val="0"/>
        <u val="none"/>
        <vertAlign val="baseline"/>
        <sz val="10"/>
        <color auto="1"/>
        <name val="Work Sans"/>
        <scheme val="major"/>
      </font>
      <fill>
        <patternFill patternType="none">
          <fgColor indexed="64"/>
          <bgColor auto="1"/>
        </patternFill>
      </fill>
      <alignment horizontal="general" vertical="top" textRotation="0" indent="0" justifyLastLine="0" shrinkToFit="0" readingOrder="0"/>
    </dxf>
    <dxf>
      <font>
        <strike val="0"/>
        <outline val="0"/>
        <shadow val="0"/>
        <u val="none"/>
        <vertAlign val="baseline"/>
        <sz val="10"/>
        <color auto="1"/>
        <name val="Work Sans"/>
        <scheme val="major"/>
      </font>
      <fill>
        <patternFill patternType="none">
          <fgColor indexed="64"/>
          <bgColor auto="1"/>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Work Sans"/>
        <scheme val="major"/>
      </font>
      <alignment horizontal="general" vertical="top" textRotation="0" indent="0" justifyLastLine="0" shrinkToFit="0" readingOrder="0"/>
    </dxf>
    <dxf>
      <font>
        <b val="0"/>
        <i val="0"/>
        <strike val="0"/>
        <condense val="0"/>
        <extend val="0"/>
        <outline val="0"/>
        <shadow val="0"/>
        <u val="none"/>
        <vertAlign val="baseline"/>
        <sz val="10"/>
        <color auto="1"/>
        <name val="Work Sans"/>
        <scheme val="major"/>
      </font>
      <alignment horizontal="general" vertical="top" textRotation="0" indent="0" justifyLastLine="0" shrinkToFit="0" readingOrder="0"/>
    </dxf>
    <dxf>
      <font>
        <b val="0"/>
        <i val="0"/>
        <strike val="0"/>
        <condense val="0"/>
        <extend val="0"/>
        <outline val="0"/>
        <shadow val="0"/>
        <u val="none"/>
        <vertAlign val="baseline"/>
        <sz val="10"/>
        <color auto="1"/>
        <name val="Work Sans"/>
        <scheme val="major"/>
      </fon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numFmt numFmtId="168" formatCode="&quot; &quot;"/>
    </dxf>
    <dxf>
      <numFmt numFmtId="169" formatCode="&quot;Beginner&quot;"/>
    </dxf>
    <dxf>
      <numFmt numFmtId="170" formatCode="&quot;User&quot;"/>
    </dxf>
    <dxf>
      <numFmt numFmtId="171" formatCode="&quot;Expert&quot;"/>
    </dxf>
    <dxf>
      <font>
        <strike val="0"/>
        <outline val="0"/>
        <shadow val="0"/>
        <u val="none"/>
        <vertAlign val="baseline"/>
        <sz val="12"/>
        <color theme="0"/>
        <name val="Work Sans"/>
        <scheme val="minor"/>
      </font>
      <numFmt numFmtId="0" formatCode="General"/>
      <fill>
        <patternFill patternType="solid">
          <fgColor indexed="64"/>
          <bgColor theme="0"/>
        </patternFill>
      </fill>
      <alignment horizontal="center" vertical="center" textRotation="0" wrapText="0" indent="0" justifyLastLine="0" shrinkToFit="0" readingOrder="0"/>
      <border outline="0">
        <left style="thin">
          <color indexed="64"/>
        </left>
      </border>
      <protection locked="0" hidden="0"/>
    </dxf>
    <dxf>
      <font>
        <strike val="0"/>
        <outline val="0"/>
        <shadow val="0"/>
        <u val="none"/>
        <vertAlign val="baseline"/>
        <sz val="10"/>
        <color theme="1"/>
        <name val="Work Sans"/>
        <family val="2"/>
        <scheme val="minor"/>
      </font>
      <alignment horizontal="center" vertical="center" textRotation="0" wrapText="0" indent="0" justifyLastLine="0" shrinkToFit="0" readingOrder="0"/>
      <border diagonalUp="0" diagonalDown="0" outline="0">
        <left style="thin">
          <color indexed="64"/>
        </left>
        <right/>
        <top style="thin">
          <color auto="1"/>
        </top>
        <bottom style="thin">
          <color auto="1"/>
        </bottom>
      </border>
      <protection locked="0" hidden="0"/>
    </dxf>
    <dxf>
      <font>
        <strike val="0"/>
        <outline val="0"/>
        <shadow val="0"/>
        <u val="none"/>
        <vertAlign val="baseline"/>
        <sz val="10"/>
        <color theme="1"/>
        <name val="Work Sans"/>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1"/>
        <name val="Work Sans"/>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1"/>
        <name val="Work Sans"/>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1"/>
        <name val="Work Sans"/>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1"/>
        <name val="Work Sans"/>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1"/>
        <name val="Work Sans"/>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1"/>
        <name val="Work Sans"/>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1"/>
        <name val="Work Sans"/>
        <family val="2"/>
        <scheme val="minor"/>
      </font>
      <numFmt numFmtId="0" formatCode="Genera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1"/>
        <name val="Work Sans"/>
        <family val="2"/>
        <scheme val="minor"/>
      </font>
      <numFmt numFmtId="0" formatCode="General"/>
      <fill>
        <patternFill patternType="solid">
          <fgColor indexed="64"/>
          <bgColor theme="4" tint="0.79998168889431442"/>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0"/>
        <color theme="1"/>
        <name val="Work Sans"/>
        <family val="2"/>
        <scheme val="minor"/>
      </font>
      <numFmt numFmtId="0" formatCode="General"/>
      <fill>
        <patternFill patternType="solid">
          <fgColor indexed="64"/>
          <bgColor theme="4" tint="0.79998168889431442"/>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0"/>
        <color theme="1"/>
        <name val="Work Sans"/>
        <family val="2"/>
        <scheme val="minor"/>
      </font>
      <numFmt numFmtId="0" formatCode="General"/>
      <fill>
        <patternFill patternType="solid">
          <fgColor indexed="64"/>
          <bgColor theme="4" tint="0.79998168889431442"/>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0"/>
        <color theme="1"/>
        <name val="Work Sans"/>
        <family val="2"/>
        <scheme val="minor"/>
      </font>
      <numFmt numFmtId="0" formatCode="General"/>
      <fill>
        <patternFill patternType="solid">
          <fgColor indexed="64"/>
          <bgColor theme="4" tint="0.79998168889431442"/>
        </patternFill>
      </fill>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0"/>
        <color theme="1"/>
        <name val="Work Sans"/>
        <family val="2"/>
        <scheme val="minor"/>
      </font>
      <numFmt numFmtId="0" formatCode="General"/>
      <fill>
        <patternFill patternType="solid">
          <fgColor indexed="64"/>
          <bgColor theme="4" tint="0.79998168889431442"/>
        </patternFill>
      </fill>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0"/>
        <color theme="1"/>
        <name val="Work Sans"/>
        <family val="2"/>
        <scheme val="minor"/>
      </font>
      <numFmt numFmtId="0" formatCode="General"/>
      <fill>
        <patternFill patternType="solid">
          <fgColor indexed="64"/>
          <bgColor theme="4"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0"/>
        <color theme="1"/>
        <name val="Work Sans"/>
        <family val="2"/>
        <scheme val="minor"/>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1"/>
        <name val="Work Sans"/>
        <family val="2"/>
        <scheme val="minor"/>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1"/>
        <name val="Work Sans"/>
        <family val="2"/>
        <scheme val="minor"/>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1"/>
        <name val="Work Sans"/>
        <family val="2"/>
        <scheme val="minor"/>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border>
        <bottom style="thin">
          <color theme="7"/>
        </bottom>
      </border>
    </dxf>
    <dxf>
      <font>
        <b val="0"/>
        <strike val="0"/>
        <outline val="0"/>
        <shadow val="0"/>
        <u val="none"/>
        <vertAlign val="baseline"/>
        <sz val="12"/>
        <color theme="1"/>
        <name val="Work Sans"/>
        <family val="2"/>
        <scheme val="minor"/>
      </font>
      <fill>
        <patternFill patternType="solid">
          <fgColor indexed="64"/>
          <bgColor theme="4" tint="0.39997558519241921"/>
        </patternFill>
      </fill>
      <alignment horizontal="general" vertical="bottom" textRotation="0" wrapText="1" indent="0" justifyLastLine="0" shrinkToFit="0" readingOrder="0"/>
      <border diagonalUp="0" diagonalDown="0" outline="0">
        <left style="thin">
          <color theme="7"/>
        </left>
        <right style="thin">
          <color theme="7"/>
        </right>
        <top/>
        <bottom/>
      </border>
    </dxf>
    <dxf>
      <font>
        <color rgb="FFFF0000"/>
      </font>
      <numFmt numFmtId="0" formatCode="General"/>
    </dxf>
    <dxf>
      <font>
        <color rgb="FFFF0000"/>
      </font>
      <numFmt numFmtId="0" formatCode="General"/>
    </dxf>
    <dxf>
      <numFmt numFmtId="172" formatCode="&quot;+/-&quot;\ 0%"/>
      <fill>
        <patternFill patternType="none">
          <bgColor auto="1"/>
        </patternFill>
      </fill>
    </dxf>
    <dxf>
      <numFmt numFmtId="173" formatCode="&quot;-&quot;\ #%"/>
    </dxf>
    <dxf>
      <numFmt numFmtId="174" formatCode="&quot;+&quot;\ #%"/>
    </dxf>
    <dxf>
      <font>
        <strike val="0"/>
        <outline val="0"/>
        <shadow val="0"/>
        <u val="none"/>
        <vertAlign val="baseline"/>
        <sz val="12"/>
        <color theme="0"/>
        <name val="Work Sans"/>
        <scheme val="minor"/>
      </font>
      <numFmt numFmtId="0" formatCode="General"/>
      <fill>
        <patternFill patternType="solid">
          <fgColor indexed="64"/>
          <bgColor theme="0"/>
        </patternFill>
      </fill>
      <alignment horizontal="center" vertical="center" textRotation="0" wrapText="0" indent="0" justifyLastLine="0" shrinkToFit="0" readingOrder="0"/>
      <border outline="0">
        <left style="thin">
          <color indexed="64"/>
        </left>
      </border>
      <protection locked="0" hidden="0"/>
    </dxf>
    <dxf>
      <font>
        <strike val="0"/>
        <outline val="0"/>
        <shadow val="0"/>
        <u val="none"/>
        <vertAlign val="baseline"/>
        <sz val="10"/>
        <color theme="1"/>
        <name val="Work Sans"/>
        <family val="2"/>
        <scheme val="minor"/>
      </font>
      <alignment horizontal="center" vertical="center" textRotation="0" wrapText="0" indent="0" justifyLastLine="0" shrinkToFit="0" readingOrder="0"/>
      <border diagonalUp="0" diagonalDown="0">
        <left style="thin">
          <color indexed="64"/>
        </left>
        <right/>
        <top style="thin">
          <color auto="1"/>
        </top>
        <bottom style="thin">
          <color auto="1"/>
        </bottom>
      </border>
      <protection locked="0" hidden="0"/>
    </dxf>
    <dxf>
      <font>
        <strike val="0"/>
        <outline val="0"/>
        <shadow val="0"/>
        <u val="none"/>
        <vertAlign val="baseline"/>
        <sz val="10"/>
        <color theme="1"/>
        <name val="Work Sans"/>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1"/>
        <name val="Work Sans"/>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1"/>
        <name val="Work Sans"/>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1"/>
        <name val="Work Sans"/>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1"/>
        <name val="Work Sans"/>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1"/>
        <name val="Work Sans"/>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Work Sans"/>
        <family val="2"/>
        <scheme val="minor"/>
      </font>
      <numFmt numFmtId="167" formatCode="0;[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Work Sans"/>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Work Sans"/>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Work Sans"/>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1"/>
        <name val="Work Sans"/>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1"/>
        <name val="Work Sans"/>
        <family val="2"/>
        <scheme val="minor"/>
      </font>
      <numFmt numFmtId="0" formatCode="General"/>
      <fill>
        <patternFill patternType="solid">
          <fgColor indexed="64"/>
          <bgColor theme="4" tint="0.79998168889431442"/>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0"/>
        <color theme="1"/>
        <name val="Work Sans"/>
        <family val="2"/>
        <scheme val="minor"/>
      </font>
      <numFmt numFmtId="0" formatCode="General"/>
      <fill>
        <patternFill patternType="solid">
          <fgColor indexed="64"/>
          <bgColor theme="4" tint="0.79998168889431442"/>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0"/>
        <color theme="1"/>
        <name val="Work Sans"/>
        <family val="2"/>
        <scheme val="minor"/>
      </font>
      <numFmt numFmtId="0" formatCode="General"/>
      <fill>
        <patternFill patternType="solid">
          <fgColor indexed="64"/>
          <bgColor theme="4" tint="0.79998168889431442"/>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0"/>
        <color theme="1"/>
        <name val="Work Sans"/>
        <family val="2"/>
        <scheme val="minor"/>
      </font>
      <numFmt numFmtId="0" formatCode="General"/>
      <fill>
        <patternFill patternType="solid">
          <fgColor indexed="64"/>
          <bgColor theme="4" tint="0.79998168889431442"/>
        </patternFill>
      </fill>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0"/>
        <color theme="1"/>
        <name val="Work Sans"/>
        <family val="2"/>
        <scheme val="minor"/>
      </font>
      <numFmt numFmtId="0" formatCode="General"/>
      <fill>
        <patternFill patternType="solid">
          <fgColor indexed="64"/>
          <bgColor theme="4" tint="0.79998168889431442"/>
        </patternFill>
      </fill>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0"/>
        <color theme="1"/>
        <name val="Work Sans"/>
        <family val="2"/>
        <scheme val="minor"/>
      </font>
      <numFmt numFmtId="0" formatCode="General"/>
      <fill>
        <patternFill patternType="solid">
          <fgColor indexed="64"/>
          <bgColor theme="4"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0"/>
        <color theme="1"/>
        <name val="Work Sans"/>
        <family val="2"/>
        <scheme val="minor"/>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1"/>
        <name val="Work Sans"/>
        <family val="2"/>
        <scheme val="minor"/>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1"/>
        <name val="Work Sans"/>
        <family val="2"/>
        <scheme val="minor"/>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1"/>
        <name val="Work Sans"/>
        <family val="2"/>
        <scheme val="minor"/>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border>
        <bottom style="thin">
          <color rgb="FF753DFF"/>
        </bottom>
      </border>
    </dxf>
    <dxf>
      <font>
        <b val="0"/>
        <strike val="0"/>
        <outline val="0"/>
        <shadow val="0"/>
        <u val="none"/>
        <vertAlign val="baseline"/>
        <sz val="12"/>
        <color theme="1"/>
        <name val="Work Sans"/>
        <family val="2"/>
        <scheme val="minor"/>
      </font>
      <fill>
        <patternFill patternType="solid">
          <fgColor indexed="64"/>
          <bgColor theme="4" tint="0.39997558519241921"/>
        </patternFill>
      </fill>
      <alignment horizontal="general" vertical="bottom" textRotation="0" wrapText="1" indent="0" justifyLastLine="0" shrinkToFit="0" readingOrder="0"/>
      <border diagonalUp="0" diagonalDown="0" outline="0">
        <left style="thin">
          <color theme="7"/>
        </left>
        <right style="thin">
          <color theme="7"/>
        </right>
        <top/>
        <bottom/>
      </border>
    </dxf>
    <dxf>
      <font>
        <color rgb="FFFF0000"/>
      </font>
      <numFmt numFmtId="0" formatCode="General"/>
    </dxf>
  </dxfs>
  <tableStyles count="0" defaultTableStyle="TableStyleMedium2" defaultPivotStyle="PivotStyleLight16"/>
  <colors>
    <mruColors>
      <color rgb="FFFFFFFF"/>
      <color rgb="FFFDFD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1</xdr:col>
      <xdr:colOff>130628</xdr:colOff>
      <xdr:row>6</xdr:row>
      <xdr:rowOff>115660</xdr:rowOff>
    </xdr:from>
    <xdr:to>
      <xdr:col>2</xdr:col>
      <xdr:colOff>117294</xdr:colOff>
      <xdr:row>7</xdr:row>
      <xdr:rowOff>35015</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892628" y="2754085"/>
          <a:ext cx="748666" cy="109855"/>
          <a:chOff x="0" y="0"/>
          <a:chExt cx="644333" cy="109855"/>
        </a:xfrm>
      </xdr:grpSpPr>
      <xdr:sp macro="" textlink="">
        <xdr:nvSpPr>
          <xdr:cNvPr id="3" name="Oval 2">
            <a:extLst>
              <a:ext uri="{FF2B5EF4-FFF2-40B4-BE49-F238E27FC236}">
                <a16:creationId xmlns:a16="http://schemas.microsoft.com/office/drawing/2014/main" id="{00000000-0008-0000-0000-000003000000}"/>
              </a:ext>
            </a:extLst>
          </xdr:cNvPr>
          <xdr:cNvSpPr/>
        </xdr:nvSpPr>
        <xdr:spPr>
          <a:xfrm>
            <a:off x="0" y="0"/>
            <a:ext cx="109220" cy="109855"/>
          </a:xfrm>
          <a:prstGeom prst="ellipse">
            <a:avLst/>
          </a:prstGeom>
          <a:solidFill>
            <a:srgbClr val="753DFF"/>
          </a:solidFill>
          <a:ln w="25400" cap="flat" cmpd="sng" algn="ctr">
            <a:noFill/>
            <a:prstDash val="soli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4" name="Rectangle 3">
            <a:extLst>
              <a:ext uri="{FF2B5EF4-FFF2-40B4-BE49-F238E27FC236}">
                <a16:creationId xmlns:a16="http://schemas.microsoft.com/office/drawing/2014/main" id="{00000000-0008-0000-0000-000004000000}"/>
              </a:ext>
            </a:extLst>
          </xdr:cNvPr>
          <xdr:cNvSpPr/>
        </xdr:nvSpPr>
        <xdr:spPr>
          <a:xfrm>
            <a:off x="172528" y="0"/>
            <a:ext cx="471805" cy="100330"/>
          </a:xfrm>
          <a:prstGeom prst="rect">
            <a:avLst/>
          </a:prstGeom>
          <a:solidFill>
            <a:srgbClr val="753DFF"/>
          </a:solidFill>
          <a:ln w="25400" cap="flat" cmpd="sng" algn="ctr">
            <a:noFill/>
            <a:prstDash val="soli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twoCellAnchor>
  <xdr:twoCellAnchor editAs="oneCell">
    <xdr:from>
      <xdr:col>4</xdr:col>
      <xdr:colOff>200025</xdr:colOff>
      <xdr:row>1</xdr:row>
      <xdr:rowOff>114300</xdr:rowOff>
    </xdr:from>
    <xdr:to>
      <xdr:col>7</xdr:col>
      <xdr:colOff>387061</xdr:colOff>
      <xdr:row>4</xdr:row>
      <xdr:rowOff>196388</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48025" y="304800"/>
          <a:ext cx="2473036" cy="11679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239</xdr:row>
          <xdr:rowOff>9525</xdr:rowOff>
        </xdr:from>
        <xdr:to>
          <xdr:col>4</xdr:col>
          <xdr:colOff>0</xdr:colOff>
          <xdr:row>240</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161718"/>
                  </a:solidFill>
                  <a:latin typeface="Work Sans"/>
                </a:rPr>
                <a:t>Add Row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4</xdr:row>
          <xdr:rowOff>38100</xdr:rowOff>
        </xdr:from>
        <xdr:to>
          <xdr:col>5</xdr:col>
          <xdr:colOff>638175</xdr:colOff>
          <xdr:row>4</xdr:row>
          <xdr:rowOff>219075</xdr:rowOff>
        </xdr:to>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500-000011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161718"/>
                  </a:solidFill>
                  <a:latin typeface="Work Sans"/>
                </a:rPr>
                <a:t>Customize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xdr:row>
          <xdr:rowOff>19050</xdr:rowOff>
        </xdr:from>
        <xdr:to>
          <xdr:col>14</xdr:col>
          <xdr:colOff>752475</xdr:colOff>
          <xdr:row>4</xdr:row>
          <xdr:rowOff>238125</xdr:rowOff>
        </xdr:to>
        <xdr:sp macro="" textlink="">
          <xdr:nvSpPr>
            <xdr:cNvPr id="16448" name="Button 64" hidden="1">
              <a:extLst>
                <a:ext uri="{63B3BB69-23CF-44E3-9099-C40C66FF867C}">
                  <a14:compatExt spid="_x0000_s16448"/>
                </a:ext>
                <a:ext uri="{FF2B5EF4-FFF2-40B4-BE49-F238E27FC236}">
                  <a16:creationId xmlns:a16="http://schemas.microsoft.com/office/drawing/2014/main" id="{00000000-0008-0000-0500-000040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161718"/>
                  </a:solidFill>
                  <a:latin typeface="Work Sans"/>
                </a:rPr>
                <a:t>Add New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4</xdr:row>
          <xdr:rowOff>38100</xdr:rowOff>
        </xdr:from>
        <xdr:to>
          <xdr:col>6</xdr:col>
          <xdr:colOff>971550</xdr:colOff>
          <xdr:row>4</xdr:row>
          <xdr:rowOff>209550</xdr:rowOff>
        </xdr:to>
        <xdr:sp macro="" textlink="">
          <xdr:nvSpPr>
            <xdr:cNvPr id="16519" name="Button 135" hidden="1">
              <a:extLst>
                <a:ext uri="{63B3BB69-23CF-44E3-9099-C40C66FF867C}">
                  <a14:compatExt spid="_x0000_s16519"/>
                </a:ext>
                <a:ext uri="{FF2B5EF4-FFF2-40B4-BE49-F238E27FC236}">
                  <a16:creationId xmlns:a16="http://schemas.microsoft.com/office/drawing/2014/main" id="{00000000-0008-0000-0500-000087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161718"/>
                  </a:solidFill>
                  <a:latin typeface="Work Sans"/>
                </a:rPr>
                <a:t>Customize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4</xdr:row>
          <xdr:rowOff>38100</xdr:rowOff>
        </xdr:from>
        <xdr:to>
          <xdr:col>7</xdr:col>
          <xdr:colOff>1000125</xdr:colOff>
          <xdr:row>4</xdr:row>
          <xdr:rowOff>219075</xdr:rowOff>
        </xdr:to>
        <xdr:sp macro="" textlink="">
          <xdr:nvSpPr>
            <xdr:cNvPr id="16523" name="Button 139" hidden="1">
              <a:extLst>
                <a:ext uri="{63B3BB69-23CF-44E3-9099-C40C66FF867C}">
                  <a14:compatExt spid="_x0000_s16523"/>
                </a:ext>
                <a:ext uri="{FF2B5EF4-FFF2-40B4-BE49-F238E27FC236}">
                  <a16:creationId xmlns:a16="http://schemas.microsoft.com/office/drawing/2014/main" id="{00000000-0008-0000-0500-00008B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161718"/>
                  </a:solidFill>
                  <a:latin typeface="Work Sans"/>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190500</xdr:colOff>
          <xdr:row>4</xdr:row>
          <xdr:rowOff>28575</xdr:rowOff>
        </xdr:from>
        <xdr:to>
          <xdr:col>9</xdr:col>
          <xdr:colOff>1038225</xdr:colOff>
          <xdr:row>4</xdr:row>
          <xdr:rowOff>209550</xdr:rowOff>
        </xdr:to>
        <xdr:sp macro="" textlink="">
          <xdr:nvSpPr>
            <xdr:cNvPr id="16525" name="Button 141" hidden="1">
              <a:extLst>
                <a:ext uri="{63B3BB69-23CF-44E3-9099-C40C66FF867C}">
                  <a14:compatExt spid="_x0000_s16525"/>
                </a:ext>
                <a:ext uri="{FF2B5EF4-FFF2-40B4-BE49-F238E27FC236}">
                  <a16:creationId xmlns:a16="http://schemas.microsoft.com/office/drawing/2014/main" id="{00000000-0008-0000-0500-00008D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161718"/>
                  </a:solidFill>
                  <a:latin typeface="Work Sans"/>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76200</xdr:colOff>
          <xdr:row>4</xdr:row>
          <xdr:rowOff>38100</xdr:rowOff>
        </xdr:from>
        <xdr:to>
          <xdr:col>8</xdr:col>
          <xdr:colOff>981075</xdr:colOff>
          <xdr:row>4</xdr:row>
          <xdr:rowOff>209550</xdr:rowOff>
        </xdr:to>
        <xdr:sp macro="" textlink="">
          <xdr:nvSpPr>
            <xdr:cNvPr id="16526" name="Button 142" hidden="1">
              <a:extLst>
                <a:ext uri="{63B3BB69-23CF-44E3-9099-C40C66FF867C}">
                  <a14:compatExt spid="_x0000_s16526"/>
                </a:ext>
                <a:ext uri="{FF2B5EF4-FFF2-40B4-BE49-F238E27FC236}">
                  <a16:creationId xmlns:a16="http://schemas.microsoft.com/office/drawing/2014/main" id="{00000000-0008-0000-0500-00008E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161718"/>
                  </a:solidFill>
                  <a:latin typeface="Work Sans"/>
                </a:rPr>
                <a:t>Customize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190500</xdr:colOff>
          <xdr:row>4</xdr:row>
          <xdr:rowOff>28575</xdr:rowOff>
        </xdr:from>
        <xdr:to>
          <xdr:col>11</xdr:col>
          <xdr:colOff>1038225</xdr:colOff>
          <xdr:row>4</xdr:row>
          <xdr:rowOff>209550</xdr:rowOff>
        </xdr:to>
        <xdr:sp macro="" textlink="">
          <xdr:nvSpPr>
            <xdr:cNvPr id="16528" name="Button 144" hidden="1">
              <a:extLst>
                <a:ext uri="{63B3BB69-23CF-44E3-9099-C40C66FF867C}">
                  <a14:compatExt spid="_x0000_s16528"/>
                </a:ext>
                <a:ext uri="{FF2B5EF4-FFF2-40B4-BE49-F238E27FC236}">
                  <a16:creationId xmlns:a16="http://schemas.microsoft.com/office/drawing/2014/main" id="{00000000-0008-0000-0500-000090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161718"/>
                  </a:solidFill>
                  <a:latin typeface="Work Sans"/>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4</xdr:row>
          <xdr:rowOff>38100</xdr:rowOff>
        </xdr:from>
        <xdr:to>
          <xdr:col>10</xdr:col>
          <xdr:colOff>981075</xdr:colOff>
          <xdr:row>4</xdr:row>
          <xdr:rowOff>209550</xdr:rowOff>
        </xdr:to>
        <xdr:sp macro="" textlink="">
          <xdr:nvSpPr>
            <xdr:cNvPr id="16529" name="Button 145" hidden="1">
              <a:extLst>
                <a:ext uri="{63B3BB69-23CF-44E3-9099-C40C66FF867C}">
                  <a14:compatExt spid="_x0000_s16529"/>
                </a:ext>
                <a:ext uri="{FF2B5EF4-FFF2-40B4-BE49-F238E27FC236}">
                  <a16:creationId xmlns:a16="http://schemas.microsoft.com/office/drawing/2014/main" id="{00000000-0008-0000-0500-000091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161718"/>
                  </a:solidFill>
                  <a:latin typeface="Work Sans"/>
                </a:rPr>
                <a:t>Customize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4</xdr:row>
          <xdr:rowOff>28575</xdr:rowOff>
        </xdr:from>
        <xdr:to>
          <xdr:col>13</xdr:col>
          <xdr:colOff>1038225</xdr:colOff>
          <xdr:row>4</xdr:row>
          <xdr:rowOff>209550</xdr:rowOff>
        </xdr:to>
        <xdr:sp macro="" textlink="">
          <xdr:nvSpPr>
            <xdr:cNvPr id="16531" name="Button 147" hidden="1">
              <a:extLst>
                <a:ext uri="{63B3BB69-23CF-44E3-9099-C40C66FF867C}">
                  <a14:compatExt spid="_x0000_s16531"/>
                </a:ext>
                <a:ext uri="{FF2B5EF4-FFF2-40B4-BE49-F238E27FC236}">
                  <a16:creationId xmlns:a16="http://schemas.microsoft.com/office/drawing/2014/main" id="{00000000-0008-0000-0500-000093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161718"/>
                  </a:solidFill>
                  <a:latin typeface="Work Sans"/>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76200</xdr:colOff>
          <xdr:row>4</xdr:row>
          <xdr:rowOff>38100</xdr:rowOff>
        </xdr:from>
        <xdr:to>
          <xdr:col>12</xdr:col>
          <xdr:colOff>981075</xdr:colOff>
          <xdr:row>4</xdr:row>
          <xdr:rowOff>209550</xdr:rowOff>
        </xdr:to>
        <xdr:sp macro="" textlink="">
          <xdr:nvSpPr>
            <xdr:cNvPr id="16532" name="Button 148" hidden="1">
              <a:extLst>
                <a:ext uri="{63B3BB69-23CF-44E3-9099-C40C66FF867C}">
                  <a14:compatExt spid="_x0000_s16532"/>
                </a:ext>
                <a:ext uri="{FF2B5EF4-FFF2-40B4-BE49-F238E27FC236}">
                  <a16:creationId xmlns:a16="http://schemas.microsoft.com/office/drawing/2014/main" id="{00000000-0008-0000-0500-000094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161718"/>
                  </a:solidFill>
                  <a:latin typeface="Work Sans"/>
                </a:rPr>
                <a:t>Customize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3A4FDA-943F-4C27-9040-D537E2B0348C}" name="Table32" displayName="Table32" ref="A3:W43" totalsRowShown="0" headerRowDxfId="234" headerRowBorderDxfId="233">
  <autoFilter ref="A3:W43" xr:uid="{00000000-0009-0000-0100-000003000000}">
    <filterColumn colId="13">
      <filters>
        <filter val="No"/>
      </filters>
    </filterColumn>
  </autoFilter>
  <tableColumns count="23">
    <tableColumn id="1" xr3:uid="{76327671-1960-4BD0-BCAE-2C95737F3640}" name="#" dataDxfId="232"/>
    <tableColumn id="2" xr3:uid="{0815B0CA-0EF6-45C7-93E4-3DBE2A6DAF1E}" name="Category" dataDxfId="231"/>
    <tableColumn id="3" xr3:uid="{9A408C12-392B-4C91-AF20-A1BAA5E8A2FD}" name="KPI" dataDxfId="230"/>
    <tableColumn id="4" xr3:uid="{BDC05899-DA72-4F0E-BE71-7AF58E733E91}" name="Metric" dataDxfId="229"/>
    <tableColumn id="8" xr3:uid="{2776AFD5-BF45-4729-A666-73D070424929}" name="UOM" dataDxfId="228">
      <calculatedColumnFormula>IF(Table32[[#This Row],[Metric]]&lt;&gt;"",INDEX(Table4[UOM],MATCH(Table32[[#This Row],[Metric]],Table4[Metric],0)),"")</calculatedColumnFormula>
    </tableColumn>
    <tableColumn id="5" xr3:uid="{C3476B4E-8F17-4E16-BC83-EB4E2185F1ED}" name="Formula" dataDxfId="227">
      <calculatedColumnFormula>IF(Table32[[#This Row],[Metric]]&lt;&gt;"",INDEX(Table4[Formula],MATCH(Table32[[#This Row],[Metric]],Table4[Metric],0)),"")</calculatedColumnFormula>
    </tableColumn>
    <tableColumn id="19" xr3:uid="{BC18EF23-1F47-4A5A-8F5C-5001D1100337}" name="Example" dataDxfId="226">
      <calculatedColumnFormula>IF(Table32[[#This Row],[Metric]]&lt;&gt;"",INDEX(Table4[Example],MATCH(Table32[[#This Row],[Metric]],Table4[Metric],0)),"")</calculatedColumnFormula>
    </tableColumn>
    <tableColumn id="6" xr3:uid="{27DFD611-C038-4A96-A23D-28A8A36E14E4}" name="Application Type" dataDxfId="225">
      <calculatedColumnFormula>IF(Table32[[#This Row],[Metric]]&lt;&gt;"",INDEX(Table4[Application Type],MATCH(Table32[[#This Row],[Metric]],Table4[Metric],0)),"")</calculatedColumnFormula>
    </tableColumn>
    <tableColumn id="7" xr3:uid="{5A8B2E0F-E1AA-47CA-AC7A-D1035C8F4D95}" name="Measurable Entity" dataDxfId="224">
      <calculatedColumnFormula>IF(Table32[[#This Row],[Metric]]&lt;&gt;"",INDEX(Table4[Measurable Entity],MATCH(Table32[[#This Row],[Metric]],Table4[Metric],0)),"")</calculatedColumnFormula>
    </tableColumn>
    <tableColumn id="11" xr3:uid="{BB8E1666-657E-4473-9D6D-B019A420E711}" name="Metric Classification" dataDxfId="223">
      <calculatedColumnFormula>IF(Table32[[#This Row],[Metric]]&lt;&gt;"",INDEX(Table4[Metric Classification],MATCH(Table32[[#This Row],[Metric]],Table4[Metric],0)),"")</calculatedColumnFormula>
    </tableColumn>
    <tableColumn id="9" xr3:uid="{60616CC1-9988-46A8-8AAE-F759C160E7B9}" name="Goal" dataDxfId="222"/>
    <tableColumn id="10" xr3:uid="{7A07F11C-B3F3-4EA4-AE90-36E830ABB180}" name="Is KPI Applicable?" dataDxfId="221" dataCellStyle="Percent"/>
    <tableColumn id="23" xr3:uid="{10877026-6470-4210-895E-9B00554DAC30}" name="Tool Used" dataDxfId="220" dataCellStyle="Percent"/>
    <tableColumn id="22" xr3:uid="{A84A61C5-6E68-43EB-97D4-F2ABF5256281}" name="Tracked in Katapult?" dataDxfId="219" dataCellStyle="Percent"/>
    <tableColumn id="21" xr3:uid="{B47D3CE2-8658-43AC-8F86-2FC5AAB1E595}" name="Exception ID(in Approved state)" dataDxfId="218" dataCellStyle="Percent"/>
    <tableColumn id="12" xr3:uid="{548DD729-6361-4E7F-97FC-7EB2792094E0}" name="MLR L1" dataDxfId="217"/>
    <tableColumn id="13" xr3:uid="{E7E31627-D4DA-4416-AE6B-692E8DCE0E8F}" name="MLR L2" dataDxfId="216"/>
    <tableColumn id="14" xr3:uid="{1BD74F59-1C98-47B4-B671-79B884120AE1}" name="MLR L3" dataDxfId="215"/>
    <tableColumn id="15" xr3:uid="{B0D844DB-623F-4562-A368-1AB525CA453A}" name="PAR" dataDxfId="214"/>
    <tableColumn id="16" xr3:uid="{D5BFA8FF-04D6-4346-BC4F-2B6E29391DC5}" name="MSR" dataDxfId="213"/>
    <tableColumn id="17" xr3:uid="{50F09A46-A897-4297-8147-D1232BF5FE96}" name="Steering Meeting" dataDxfId="212"/>
    <tableColumn id="18" xr3:uid="{D55C4DEF-B0CE-44FD-9EA4-A318CA501514}" name="Remarks" dataDxfId="211"/>
    <tableColumn id="20" xr3:uid="{748BB597-20E7-4E74-B8BD-A96113CB76F9}" name="Check" dataDxfId="210">
      <calculatedColumnFormula>ISERROR(IF(Table32[[#This Row],[Metric]]&lt;&gt;"",INDEX(Table4[UOM],MATCH(Table32[[#This Row],[Metric]],Table4[Metric],0)),""))</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3:T40" totalsRowShown="0" headerRowDxfId="204" headerRowBorderDxfId="203">
  <autoFilter ref="A3:T40" xr:uid="{00000000-0009-0000-0100-000003000000}"/>
  <tableColumns count="20">
    <tableColumn id="1" xr3:uid="{00000000-0010-0000-0000-000001000000}" name="#" dataDxfId="202"/>
    <tableColumn id="2" xr3:uid="{00000000-0010-0000-0000-000002000000}" name="Category" dataDxfId="201"/>
    <tableColumn id="3" xr3:uid="{00000000-0010-0000-0000-000003000000}" name="KPI" dataDxfId="200"/>
    <tableColumn id="4" xr3:uid="{00000000-0010-0000-0000-000004000000}" name="Metric" dataDxfId="199"/>
    <tableColumn id="8" xr3:uid="{00000000-0010-0000-0000-000008000000}" name="UOM" dataDxfId="198">
      <calculatedColumnFormula>IF(Table3[[#This Row],[Metric]]&lt;&gt;"",INDEX(Table4[UOM],MATCH(Table3[[#This Row],[Metric]],Table4[Metric],0)),"")</calculatedColumnFormula>
    </tableColumn>
    <tableColumn id="5" xr3:uid="{00000000-0010-0000-0000-000005000000}" name="Formula" dataDxfId="197">
      <calculatedColumnFormula>IF(Table3[[#This Row],[Metric]]&lt;&gt;"",INDEX(Table4[Formula],MATCH(Table3[[#This Row],[Metric]],Table4[Metric],0)),"")</calculatedColumnFormula>
    </tableColumn>
    <tableColumn id="19" xr3:uid="{00000000-0010-0000-0000-000013000000}" name="Example" dataDxfId="196">
      <calculatedColumnFormula>IF(Table3[[#This Row],[Metric]]&lt;&gt;"",INDEX(Table4[Example],MATCH(Table3[[#This Row],[Metric]],Table4[Metric],0)),"")</calculatedColumnFormula>
    </tableColumn>
    <tableColumn id="6" xr3:uid="{00000000-0010-0000-0000-000006000000}" name="Application Type" dataDxfId="195">
      <calculatedColumnFormula>IF(Table3[[#This Row],[Metric]]&lt;&gt;"",INDEX(Table4[Application Type],MATCH(Table3[[#This Row],[Metric]],Table4[Metric],0)),"")</calculatedColumnFormula>
    </tableColumn>
    <tableColumn id="7" xr3:uid="{00000000-0010-0000-0000-000007000000}" name="Measurable Entity" dataDxfId="194">
      <calculatedColumnFormula>IF(Table3[[#This Row],[Metric]]&lt;&gt;"",INDEX(Table4[Measurable Entity],MATCH(Table3[[#This Row],[Metric]],Table4[Metric],0)),"")</calculatedColumnFormula>
    </tableColumn>
    <tableColumn id="11" xr3:uid="{00000000-0010-0000-0000-00000B000000}" name="Metric Classification" dataDxfId="193">
      <calculatedColumnFormula>IF(Table3[[#This Row],[Metric]]&lt;&gt;"",INDEX(Table4[Metric Classification],MATCH(Table3[[#This Row],[Metric]],Table4[Metric],0)),"")</calculatedColumnFormula>
    </tableColumn>
    <tableColumn id="9" xr3:uid="{00000000-0010-0000-0000-000009000000}" name="Goal" dataDxfId="192"/>
    <tableColumn id="10" xr3:uid="{00000000-0010-0000-0000-00000A000000}" name="Goal Tolerance_x000a_(LSL - USL)" dataDxfId="191" dataCellStyle="Percent"/>
    <tableColumn id="12" xr3:uid="{00000000-0010-0000-0000-00000C000000}" name="MLR L1" dataDxfId="190"/>
    <tableColumn id="13" xr3:uid="{00000000-0010-0000-0000-00000D000000}" name="MLR L2" dataDxfId="189"/>
    <tableColumn id="14" xr3:uid="{00000000-0010-0000-0000-00000E000000}" name="MLR L3" dataDxfId="188"/>
    <tableColumn id="15" xr3:uid="{00000000-0010-0000-0000-00000F000000}" name="PAR" dataDxfId="187"/>
    <tableColumn id="16" xr3:uid="{00000000-0010-0000-0000-000010000000}" name="MSR" dataDxfId="186"/>
    <tableColumn id="17" xr3:uid="{00000000-0010-0000-0000-000011000000}" name="Steering Meeting" dataDxfId="185"/>
    <tableColumn id="18" xr3:uid="{00000000-0010-0000-0000-000012000000}" name="Data Source_x000a_/Remarks/Justfication" dataDxfId="184"/>
    <tableColumn id="20" xr3:uid="{00000000-0010-0000-0000-000014000000}" name="Check" dataDxfId="183">
      <calculatedColumnFormula>ISERROR(IF(Table3[[#This Row],[Metric]]&lt;&gt;"",INDEX(Table4[UOM],MATCH(Table3[[#This Row],[Metric]],Table4[Metric],0)),""))</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D2:D5" totalsRowShown="0" headerRowDxfId="22" dataDxfId="21" headerRowCellStyle="Normal 2" dataCellStyle="Normal 2">
  <autoFilter ref="D2:D5" xr:uid="{00000000-0009-0000-0100-000002000000}"/>
  <tableColumns count="1">
    <tableColumn id="1" xr3:uid="{00000000-0010-0000-0100-000001000000}" name="Category" dataDxfId="20"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L2:U105" totalsRowShown="0" headerRowDxfId="19" dataDxfId="18" tableBorderDxfId="17" headerRowCellStyle="Normal 2" dataCellStyle="Normal 2">
  <autoFilter ref="L2:U105" xr:uid="{00000000-0009-0000-0100-000004000000}"/>
  <sortState xmlns:xlrd2="http://schemas.microsoft.com/office/spreadsheetml/2017/richdata2" ref="L3:U105">
    <sortCondition ref="L3:L105"/>
    <sortCondition ref="M3:M105"/>
    <sortCondition ref="N3:N105"/>
  </sortState>
  <tableColumns count="10">
    <tableColumn id="1" xr3:uid="{00000000-0010-0000-0200-000001000000}" name="Category" dataDxfId="16" dataCellStyle="Normal 2"/>
    <tableColumn id="2" xr3:uid="{00000000-0010-0000-0200-000002000000}" name="KPI" dataDxfId="15" dataCellStyle="Normal 2"/>
    <tableColumn id="3" xr3:uid="{00000000-0010-0000-0200-000003000000}" name="Metric" dataDxfId="14" dataCellStyle="Normal 2"/>
    <tableColumn id="4" xr3:uid="{00000000-0010-0000-0200-000004000000}" name="Formula" dataDxfId="13" dataCellStyle="Normal 2"/>
    <tableColumn id="5" xr3:uid="{00000000-0010-0000-0200-000005000000}" name="Application Type" dataDxfId="12" dataCellStyle="Normal 2"/>
    <tableColumn id="6" xr3:uid="{00000000-0010-0000-0200-000006000000}" name="Measurable Entity" dataDxfId="11" dataCellStyle="Normal 2"/>
    <tableColumn id="7" xr3:uid="{00000000-0010-0000-0200-000007000000}" name="UOM" dataDxfId="10" dataCellStyle="Normal 2"/>
    <tableColumn id="8" xr3:uid="{00000000-0010-0000-0200-000008000000}" name="Data Type" dataDxfId="9" dataCellStyle="Normal 2"/>
    <tableColumn id="9" xr3:uid="{00000000-0010-0000-0200-000009000000}" name="Metric Classification" dataDxfId="8" dataCellStyle="Normal 2"/>
    <tableColumn id="10" xr3:uid="{00000000-0010-0000-0200-00000A000000}" name="Example" dataDxfId="7" dataCellStyle="Normal 2"/>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5" displayName="Table5" ref="B2:C24" totalsRowShown="0" headerRowDxfId="6" dataDxfId="4" headerRowBorderDxfId="5" tableBorderDxfId="3" totalsRowBorderDxfId="2" headerRowCellStyle="Normal 2">
  <autoFilter ref="B2:C24" xr:uid="{00000000-0009-0000-0100-000005000000}"/>
  <tableColumns count="2">
    <tableColumn id="1" xr3:uid="{00000000-0010-0000-0300-000001000000}" name="Roles" dataDxfId="1" dataCellStyle="Normal 2"/>
    <tableColumn id="2" xr3:uid="{00000000-0010-0000-0300-000002000000}" name="Grades" dataDxfId="0" dataCellStyle="Normal 2"/>
  </tableColumns>
  <tableStyleInfo name="TableStyleMedium2" showFirstColumn="0" showLastColumn="0" showRowStripes="1" showColumnStripes="0"/>
</table>
</file>

<file path=xl/theme/theme1.xml><?xml version="1.0" encoding="utf-8"?>
<a:theme xmlns:a="http://schemas.openxmlformats.org/drawingml/2006/main" name="Theme2">
  <a:themeElements>
    <a:clrScheme name="Custom 2">
      <a:dk1>
        <a:srgbClr val="161718"/>
      </a:dk1>
      <a:lt1>
        <a:srgbClr val="FFFFFF"/>
      </a:lt1>
      <a:dk2>
        <a:srgbClr val="4D5154"/>
      </a:dk2>
      <a:lt2>
        <a:srgbClr val="E6E7E8"/>
      </a:lt2>
      <a:accent1>
        <a:srgbClr val="B0FF45"/>
      </a:accent1>
      <a:accent2>
        <a:srgbClr val="8FDB00"/>
      </a:accent2>
      <a:accent3>
        <a:srgbClr val="428003"/>
      </a:accent3>
      <a:accent4>
        <a:srgbClr val="753DFF"/>
      </a:accent4>
      <a:accent5>
        <a:srgbClr val="622AD8"/>
      </a:accent5>
      <a:accent6>
        <a:srgbClr val="7F7F7F"/>
      </a:accent6>
      <a:hlink>
        <a:srgbClr val="753DFF"/>
      </a:hlink>
      <a:folHlink>
        <a:srgbClr val="A5A5A5"/>
      </a:folHlink>
    </a:clrScheme>
    <a:fontScheme name="KPIT Fonts">
      <a:majorFont>
        <a:latin typeface="Work Sans"/>
        <a:ea typeface=""/>
        <a:cs typeface=""/>
      </a:majorFont>
      <a:minorFont>
        <a:latin typeface="Work Sans"/>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7.bin"/><Relationship Id="rId1" Type="http://schemas.openxmlformats.org/officeDocument/2006/relationships/hyperlink" Target="https://kquest.kpit.com/kquest/projects/katapult/knowledgebase/articles/2082"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77"/>
  <sheetViews>
    <sheetView showGridLines="0" showRuler="0" topLeftCell="A10" zoomScaleNormal="100" zoomScalePageLayoutView="80" workbookViewId="0"/>
  </sheetViews>
  <sheetFormatPr defaultRowHeight="15" x14ac:dyDescent="0.25"/>
  <cols>
    <col min="8" max="8" width="12.109375" customWidth="1"/>
  </cols>
  <sheetData>
    <row r="1" spans="1:9" x14ac:dyDescent="0.25">
      <c r="A1" s="13"/>
      <c r="B1" s="5"/>
      <c r="C1" s="5"/>
      <c r="D1" s="5"/>
      <c r="E1" s="5"/>
      <c r="F1" s="5"/>
      <c r="G1" s="13"/>
      <c r="H1" s="5"/>
      <c r="I1" s="9"/>
    </row>
    <row r="2" spans="1:9" x14ac:dyDescent="0.25">
      <c r="A2" s="5"/>
      <c r="B2" s="5"/>
      <c r="C2" s="5"/>
      <c r="D2" s="5"/>
      <c r="E2" s="5"/>
      <c r="F2" s="5"/>
      <c r="G2" s="5"/>
      <c r="H2" s="5"/>
      <c r="I2" s="9"/>
    </row>
    <row r="3" spans="1:9" ht="35.25" x14ac:dyDescent="0.5">
      <c r="A3" s="5"/>
      <c r="B3" s="5"/>
      <c r="C3" s="14"/>
      <c r="D3" s="14"/>
      <c r="E3" s="14"/>
      <c r="F3" s="14"/>
      <c r="G3" s="14"/>
      <c r="H3" s="14"/>
      <c r="I3" s="9"/>
    </row>
    <row r="4" spans="1:9" ht="35.25" x14ac:dyDescent="0.5">
      <c r="A4" s="5"/>
      <c r="B4" s="5"/>
      <c r="C4" s="14"/>
      <c r="D4" s="14"/>
      <c r="E4" s="14"/>
      <c r="F4" s="14"/>
      <c r="G4" s="14"/>
      <c r="H4" s="14"/>
      <c r="I4" s="9"/>
    </row>
    <row r="5" spans="1:9" ht="35.25" x14ac:dyDescent="0.5">
      <c r="A5" s="5"/>
      <c r="B5" s="5"/>
      <c r="C5" s="14"/>
      <c r="D5" s="14"/>
      <c r="E5" s="14"/>
      <c r="F5" s="14"/>
      <c r="G5" s="14"/>
      <c r="H5" s="14"/>
      <c r="I5" s="9"/>
    </row>
    <row r="6" spans="1:9" ht="72" customHeight="1" x14ac:dyDescent="0.25">
      <c r="A6" s="5"/>
      <c r="B6" s="217" t="s">
        <v>295</v>
      </c>
      <c r="C6" s="217"/>
      <c r="D6" s="217"/>
      <c r="E6" s="217"/>
      <c r="F6" s="217"/>
      <c r="G6" s="217"/>
      <c r="H6" s="217"/>
      <c r="I6" s="9"/>
    </row>
    <row r="7" spans="1:9" x14ac:dyDescent="0.25">
      <c r="A7" s="5"/>
      <c r="B7" s="5"/>
      <c r="C7" s="5"/>
      <c r="D7" s="5"/>
      <c r="E7" s="5"/>
      <c r="F7" s="5"/>
      <c r="G7" s="5"/>
      <c r="H7" s="5"/>
    </row>
    <row r="8" spans="1:9" x14ac:dyDescent="0.25">
      <c r="A8" s="5"/>
      <c r="B8" s="5"/>
      <c r="C8" s="5"/>
      <c r="D8" s="5"/>
      <c r="E8" s="5"/>
      <c r="F8" s="5"/>
      <c r="G8" s="5"/>
      <c r="H8" s="5"/>
    </row>
    <row r="9" spans="1:9" x14ac:dyDescent="0.25">
      <c r="A9" s="5"/>
      <c r="B9" s="5"/>
      <c r="C9" s="5"/>
      <c r="D9" s="5"/>
      <c r="E9" s="5"/>
      <c r="F9" s="5"/>
      <c r="G9" s="5"/>
      <c r="H9" s="5"/>
    </row>
    <row r="10" spans="1:9" ht="15" customHeight="1" x14ac:dyDescent="0.25">
      <c r="A10" s="5"/>
      <c r="C10" s="5"/>
      <c r="D10" s="15"/>
      <c r="E10" s="15"/>
      <c r="F10" s="15"/>
      <c r="G10" s="15"/>
      <c r="H10" s="15"/>
    </row>
    <row r="11" spans="1:9" ht="15.75" x14ac:dyDescent="0.25">
      <c r="A11" s="5"/>
      <c r="B11" s="16" t="s">
        <v>278</v>
      </c>
      <c r="C11" s="5"/>
      <c r="D11" s="5"/>
      <c r="E11" s="5"/>
      <c r="F11" s="5"/>
      <c r="G11" s="5"/>
      <c r="H11" s="5"/>
    </row>
    <row r="12" spans="1:9" ht="35.25" x14ac:dyDescent="0.5">
      <c r="A12" s="5"/>
      <c r="B12" s="17" t="s">
        <v>279</v>
      </c>
      <c r="C12" s="5"/>
      <c r="D12" s="5"/>
      <c r="E12" s="5"/>
      <c r="F12" s="5"/>
      <c r="G12" s="5"/>
      <c r="H12" s="5"/>
    </row>
    <row r="13" spans="1:9" ht="18.75" x14ac:dyDescent="0.3">
      <c r="A13" s="5"/>
      <c r="B13" s="123" t="s">
        <v>901</v>
      </c>
      <c r="C13" s="5"/>
      <c r="D13" s="5"/>
      <c r="E13" s="5"/>
      <c r="F13" s="5"/>
      <c r="G13" s="5"/>
      <c r="H13" s="5"/>
    </row>
    <row r="14" spans="1:9" x14ac:dyDescent="0.25">
      <c r="A14" s="5"/>
      <c r="B14" s="18" t="s">
        <v>809</v>
      </c>
      <c r="C14" s="5"/>
      <c r="D14" s="5"/>
      <c r="E14" s="5"/>
      <c r="F14" s="5"/>
      <c r="G14" s="5"/>
      <c r="H14" s="5"/>
    </row>
    <row r="15" spans="1:9" x14ac:dyDescent="0.25">
      <c r="A15" s="5"/>
      <c r="B15" s="5"/>
      <c r="C15" s="5"/>
      <c r="D15" s="5"/>
      <c r="E15" s="5"/>
      <c r="F15" s="5"/>
      <c r="G15" s="5"/>
      <c r="H15" s="5"/>
    </row>
    <row r="16" spans="1:9" ht="15.75" x14ac:dyDescent="0.25">
      <c r="A16" s="5"/>
      <c r="C16" s="19"/>
      <c r="E16" s="5"/>
      <c r="F16" s="5"/>
      <c r="G16" s="5"/>
      <c r="H16" s="5"/>
    </row>
    <row r="17" spans="1:8" ht="15.75" x14ac:dyDescent="0.25">
      <c r="A17" s="5"/>
      <c r="C17" s="19"/>
      <c r="E17" s="5"/>
      <c r="F17" s="5"/>
      <c r="G17" s="5"/>
      <c r="H17" s="5"/>
    </row>
    <row r="18" spans="1:8" ht="15.75" x14ac:dyDescent="0.25">
      <c r="A18" s="5"/>
      <c r="C18" s="19"/>
      <c r="E18" s="5"/>
      <c r="F18" s="5"/>
      <c r="G18" s="5"/>
      <c r="H18" s="5"/>
    </row>
    <row r="19" spans="1:8" ht="15.75" x14ac:dyDescent="0.25">
      <c r="A19" s="5"/>
      <c r="B19" s="19" t="s">
        <v>281</v>
      </c>
      <c r="C19" s="5"/>
      <c r="D19" s="20" t="s">
        <v>282</v>
      </c>
      <c r="E19" s="5"/>
      <c r="F19" s="5"/>
      <c r="G19" s="5"/>
      <c r="H19" s="5"/>
    </row>
    <row r="20" spans="1:8" ht="15.75" x14ac:dyDescent="0.25">
      <c r="A20" s="5"/>
      <c r="B20" s="19" t="s">
        <v>283</v>
      </c>
      <c r="C20" s="5"/>
      <c r="D20" s="20" t="s">
        <v>284</v>
      </c>
      <c r="E20" s="5"/>
      <c r="F20" s="5"/>
      <c r="G20" s="5"/>
      <c r="H20" s="5"/>
    </row>
    <row r="21" spans="1:8" ht="15.75" x14ac:dyDescent="0.25">
      <c r="A21" s="5"/>
      <c r="B21" s="19" t="s">
        <v>285</v>
      </c>
      <c r="C21" s="5"/>
      <c r="D21" s="20" t="s">
        <v>286</v>
      </c>
      <c r="E21" s="5"/>
      <c r="F21" s="5"/>
      <c r="G21" s="5"/>
      <c r="H21" s="5"/>
    </row>
    <row r="22" spans="1:8" ht="15" customHeight="1" x14ac:dyDescent="0.25">
      <c r="A22" s="5"/>
      <c r="C22" s="5"/>
      <c r="D22" s="15"/>
      <c r="E22" s="15"/>
      <c r="F22" s="15"/>
      <c r="G22" s="15"/>
      <c r="H22" s="15"/>
    </row>
    <row r="23" spans="1:8" x14ac:dyDescent="0.25">
      <c r="A23" s="5"/>
      <c r="C23" s="5"/>
      <c r="D23" s="5"/>
      <c r="E23" s="5"/>
      <c r="F23" s="5"/>
      <c r="G23" s="5"/>
      <c r="H23" s="5"/>
    </row>
    <row r="24" spans="1:8" x14ac:dyDescent="0.25">
      <c r="A24" s="5"/>
      <c r="C24" s="5"/>
      <c r="D24" s="5"/>
      <c r="E24" s="5"/>
      <c r="F24" s="5"/>
      <c r="G24" s="5"/>
      <c r="H24" s="5"/>
    </row>
    <row r="25" spans="1:8" x14ac:dyDescent="0.25">
      <c r="A25" s="5"/>
      <c r="C25" s="5"/>
      <c r="D25" s="5"/>
      <c r="E25" s="5"/>
      <c r="F25" s="5"/>
      <c r="G25" s="5"/>
      <c r="H25" s="5"/>
    </row>
    <row r="26" spans="1:8" ht="15.75" x14ac:dyDescent="0.25">
      <c r="A26" s="5"/>
      <c r="B26" s="16" t="s">
        <v>278</v>
      </c>
      <c r="C26" s="5"/>
      <c r="D26" s="5"/>
      <c r="E26" s="5"/>
      <c r="F26" s="5"/>
      <c r="G26" s="5"/>
      <c r="H26" s="5"/>
    </row>
    <row r="27" spans="1:8" ht="35.25" x14ac:dyDescent="0.5">
      <c r="A27" s="5"/>
      <c r="B27" s="17" t="s">
        <v>287</v>
      </c>
      <c r="C27" s="5"/>
      <c r="D27" s="5"/>
      <c r="E27" s="5"/>
      <c r="F27" s="5"/>
      <c r="G27" s="5"/>
      <c r="H27" s="5"/>
    </row>
    <row r="28" spans="1:8" x14ac:dyDescent="0.25">
      <c r="A28" s="5"/>
      <c r="B28" s="18" t="s">
        <v>288</v>
      </c>
      <c r="C28" s="5"/>
      <c r="D28" s="5"/>
      <c r="E28" s="5"/>
      <c r="F28" s="5"/>
      <c r="G28" s="5"/>
      <c r="H28" s="5"/>
    </row>
    <row r="29" spans="1:8" x14ac:dyDescent="0.25">
      <c r="A29" s="5"/>
      <c r="B29" s="18" t="s">
        <v>280</v>
      </c>
      <c r="C29" s="5"/>
      <c r="D29" s="5"/>
      <c r="E29" s="5"/>
      <c r="F29" s="5"/>
      <c r="G29" s="5"/>
      <c r="H29" s="5"/>
    </row>
    <row r="30" spans="1:8" x14ac:dyDescent="0.25">
      <c r="A30" s="5"/>
      <c r="B30" s="5"/>
      <c r="C30" s="5"/>
      <c r="D30" s="5"/>
      <c r="E30" s="5"/>
      <c r="F30" s="5"/>
      <c r="G30" s="5"/>
      <c r="H30" s="5"/>
    </row>
    <row r="31" spans="1:8" x14ac:dyDescent="0.25">
      <c r="A31" s="5"/>
      <c r="B31" s="5"/>
      <c r="C31" s="5"/>
      <c r="D31" s="5"/>
      <c r="E31" s="5"/>
      <c r="F31" s="5"/>
      <c r="G31" s="5"/>
      <c r="H31" s="5"/>
    </row>
    <row r="32" spans="1:8" x14ac:dyDescent="0.25">
      <c r="A32" s="5"/>
      <c r="B32" s="5"/>
      <c r="C32" s="5"/>
      <c r="D32" s="5"/>
      <c r="E32" s="5"/>
      <c r="F32" s="5"/>
      <c r="G32" s="5"/>
      <c r="H32" s="5"/>
    </row>
    <row r="33" spans="1:8" x14ac:dyDescent="0.25">
      <c r="A33" s="5"/>
      <c r="B33" s="5"/>
      <c r="C33" s="5"/>
      <c r="D33" s="5"/>
      <c r="E33" s="5"/>
      <c r="F33" s="5"/>
      <c r="G33" s="5"/>
      <c r="H33" s="5"/>
    </row>
    <row r="34" spans="1:8" ht="15.75" x14ac:dyDescent="0.25">
      <c r="A34" s="146" t="s">
        <v>289</v>
      </c>
      <c r="B34" s="5"/>
      <c r="C34" s="5"/>
      <c r="D34" s="5"/>
      <c r="E34" s="5"/>
      <c r="F34" s="5"/>
      <c r="G34" s="5"/>
      <c r="H34" s="5"/>
    </row>
    <row r="35" spans="1:8" ht="33.75" customHeight="1" x14ac:dyDescent="0.25">
      <c r="A35" s="147" t="s">
        <v>290</v>
      </c>
      <c r="B35" s="218" t="s">
        <v>291</v>
      </c>
      <c r="C35" s="218"/>
      <c r="D35" s="219" t="s">
        <v>292</v>
      </c>
      <c r="E35" s="219"/>
      <c r="F35" s="218" t="s">
        <v>293</v>
      </c>
      <c r="G35" s="218"/>
      <c r="H35" s="148" t="s">
        <v>294</v>
      </c>
    </row>
    <row r="36" spans="1:8" x14ac:dyDescent="0.25">
      <c r="A36" s="149" t="s">
        <v>803</v>
      </c>
      <c r="B36" s="215" t="s">
        <v>804</v>
      </c>
      <c r="C36" s="215"/>
      <c r="D36" s="215" t="s">
        <v>805</v>
      </c>
      <c r="E36" s="215"/>
      <c r="F36" s="215" t="s">
        <v>805</v>
      </c>
      <c r="G36" s="215"/>
      <c r="H36" s="150" t="s">
        <v>806</v>
      </c>
    </row>
    <row r="37" spans="1:8" x14ac:dyDescent="0.25">
      <c r="A37" s="149"/>
      <c r="B37" s="215"/>
      <c r="C37" s="215"/>
      <c r="D37" s="216"/>
      <c r="E37" s="216"/>
      <c r="F37" s="216"/>
      <c r="G37" s="216"/>
      <c r="H37" s="150"/>
    </row>
    <row r="38" spans="1:8" x14ac:dyDescent="0.25">
      <c r="A38" s="149"/>
      <c r="B38" s="215"/>
      <c r="C38" s="215"/>
      <c r="D38" s="216"/>
      <c r="E38" s="216"/>
      <c r="F38" s="216"/>
      <c r="G38" s="216"/>
      <c r="H38" s="150"/>
    </row>
    <row r="39" spans="1:8" x14ac:dyDescent="0.25">
      <c r="A39" s="149"/>
      <c r="B39" s="215"/>
      <c r="C39" s="215"/>
      <c r="D39" s="216"/>
      <c r="E39" s="216"/>
      <c r="F39" s="216"/>
      <c r="G39" s="216"/>
      <c r="H39" s="150"/>
    </row>
    <row r="40" spans="1:8" x14ac:dyDescent="0.25">
      <c r="A40" s="149"/>
      <c r="B40" s="215"/>
      <c r="C40" s="215"/>
      <c r="D40" s="216"/>
      <c r="E40" s="216"/>
      <c r="F40" s="216"/>
      <c r="G40" s="216"/>
      <c r="H40" s="150"/>
    </row>
    <row r="41" spans="1:8" x14ac:dyDescent="0.25">
      <c r="A41" s="5"/>
      <c r="B41" s="5"/>
      <c r="C41" s="5"/>
      <c r="D41" s="5"/>
      <c r="E41" s="5"/>
      <c r="F41" s="5"/>
      <c r="G41" s="5"/>
      <c r="H41" s="5"/>
    </row>
    <row r="42" spans="1:8" x14ac:dyDescent="0.25">
      <c r="A42" s="5"/>
      <c r="B42" s="5"/>
      <c r="C42" s="5"/>
      <c r="D42" s="5"/>
      <c r="E42" s="5"/>
      <c r="F42" s="5"/>
      <c r="G42" s="5"/>
      <c r="H42" s="5"/>
    </row>
    <row r="43" spans="1:8" x14ac:dyDescent="0.25">
      <c r="A43" s="5"/>
      <c r="B43" s="5"/>
      <c r="C43" s="5"/>
      <c r="D43" s="5"/>
      <c r="E43" s="5"/>
      <c r="F43" s="5"/>
      <c r="G43" s="5"/>
      <c r="H43" s="5"/>
    </row>
    <row r="44" spans="1:8" x14ac:dyDescent="0.25">
      <c r="A44" s="5"/>
      <c r="B44" s="5"/>
      <c r="C44" s="5"/>
      <c r="D44" s="5"/>
      <c r="E44" s="5"/>
      <c r="F44" s="5"/>
      <c r="G44" s="5"/>
      <c r="H44" s="5"/>
    </row>
    <row r="45" spans="1:8" x14ac:dyDescent="0.25">
      <c r="A45" s="5"/>
      <c r="B45" s="5"/>
      <c r="C45" s="5"/>
      <c r="D45" s="5"/>
      <c r="E45" s="5"/>
      <c r="F45" s="5"/>
      <c r="G45" s="5"/>
      <c r="H45" s="5"/>
    </row>
    <row r="46" spans="1:8" x14ac:dyDescent="0.25">
      <c r="A46" s="5"/>
      <c r="B46" s="5"/>
      <c r="C46" s="5"/>
      <c r="D46" s="5"/>
      <c r="E46" s="5"/>
      <c r="F46" s="5"/>
      <c r="G46" s="5"/>
      <c r="H46" s="5"/>
    </row>
    <row r="47" spans="1:8" x14ac:dyDescent="0.25">
      <c r="A47" s="5"/>
      <c r="B47" s="5"/>
      <c r="C47" s="5"/>
      <c r="D47" s="5"/>
      <c r="E47" s="5"/>
      <c r="F47" s="5"/>
      <c r="G47" s="5"/>
      <c r="H47" s="5"/>
    </row>
    <row r="48" spans="1:8" x14ac:dyDescent="0.25">
      <c r="A48" s="5"/>
      <c r="B48" s="5"/>
      <c r="C48" s="5"/>
      <c r="D48" s="5"/>
      <c r="E48" s="5"/>
      <c r="F48" s="5"/>
      <c r="G48" s="5"/>
      <c r="H48" s="5"/>
    </row>
    <row r="49" spans="1:8" x14ac:dyDescent="0.25">
      <c r="A49" s="5"/>
      <c r="B49" s="5"/>
      <c r="C49" s="5"/>
      <c r="D49" s="5"/>
      <c r="E49" s="5"/>
      <c r="F49" s="5"/>
      <c r="G49" s="5"/>
      <c r="H49" s="5"/>
    </row>
    <row r="50" spans="1:8" x14ac:dyDescent="0.25">
      <c r="A50" s="5"/>
      <c r="B50" s="5"/>
      <c r="C50" s="5"/>
      <c r="D50" s="5"/>
      <c r="E50" s="5"/>
      <c r="F50" s="5"/>
      <c r="G50" s="5"/>
      <c r="H50" s="5"/>
    </row>
    <row r="51" spans="1:8" x14ac:dyDescent="0.25">
      <c r="A51" s="5"/>
      <c r="B51" s="5"/>
      <c r="C51" s="5"/>
      <c r="D51" s="5"/>
      <c r="E51" s="5"/>
      <c r="F51" s="5"/>
      <c r="G51" s="5"/>
      <c r="H51" s="5"/>
    </row>
    <row r="52" spans="1:8" x14ac:dyDescent="0.25">
      <c r="A52" s="5"/>
      <c r="B52" s="5"/>
      <c r="C52" s="5"/>
      <c r="D52" s="5"/>
      <c r="E52" s="5"/>
      <c r="F52" s="5"/>
      <c r="G52" s="5"/>
      <c r="H52" s="5"/>
    </row>
    <row r="53" spans="1:8" x14ac:dyDescent="0.25">
      <c r="A53" s="5"/>
      <c r="B53" s="5"/>
      <c r="C53" s="5"/>
      <c r="D53" s="5"/>
      <c r="E53" s="5"/>
      <c r="F53" s="5"/>
      <c r="G53" s="5"/>
      <c r="H53" s="5"/>
    </row>
    <row r="54" spans="1:8" x14ac:dyDescent="0.25">
      <c r="A54" s="5"/>
      <c r="B54" s="5"/>
      <c r="C54" s="5"/>
      <c r="D54" s="5"/>
      <c r="E54" s="5"/>
      <c r="F54" s="5"/>
      <c r="G54" s="5"/>
      <c r="H54" s="5"/>
    </row>
    <row r="55" spans="1:8" x14ac:dyDescent="0.25">
      <c r="A55" s="5"/>
      <c r="B55" s="5"/>
      <c r="C55" s="5"/>
      <c r="D55" s="5"/>
      <c r="E55" s="5"/>
      <c r="F55" s="5"/>
      <c r="G55" s="5"/>
      <c r="H55" s="5"/>
    </row>
    <row r="56" spans="1:8" x14ac:dyDescent="0.25">
      <c r="A56" s="5"/>
      <c r="B56" s="5"/>
      <c r="C56" s="5"/>
      <c r="D56" s="5"/>
      <c r="E56" s="5"/>
      <c r="F56" s="5"/>
      <c r="G56" s="5"/>
      <c r="H56" s="5"/>
    </row>
    <row r="57" spans="1:8" x14ac:dyDescent="0.25">
      <c r="A57" s="5"/>
      <c r="B57" s="5"/>
      <c r="C57" s="5"/>
      <c r="D57" s="5"/>
      <c r="E57" s="5"/>
      <c r="F57" s="5"/>
      <c r="G57" s="5"/>
      <c r="H57" s="5"/>
    </row>
    <row r="58" spans="1:8" x14ac:dyDescent="0.25">
      <c r="A58" s="5"/>
      <c r="B58" s="5"/>
      <c r="C58" s="5"/>
      <c r="D58" s="5"/>
      <c r="E58" s="5"/>
      <c r="F58" s="5"/>
      <c r="G58" s="5"/>
      <c r="H58" s="5"/>
    </row>
    <row r="59" spans="1:8" x14ac:dyDescent="0.25">
      <c r="A59" s="5"/>
      <c r="B59" s="5"/>
      <c r="C59" s="5"/>
      <c r="D59" s="5"/>
      <c r="E59" s="5"/>
      <c r="F59" s="5"/>
      <c r="G59" s="5"/>
      <c r="H59" s="5"/>
    </row>
    <row r="60" spans="1:8" x14ac:dyDescent="0.25">
      <c r="A60" s="5"/>
      <c r="B60" s="5"/>
      <c r="C60" s="5"/>
      <c r="D60" s="5"/>
      <c r="E60" s="5"/>
      <c r="F60" s="5"/>
      <c r="G60" s="5"/>
      <c r="H60" s="5"/>
    </row>
    <row r="61" spans="1:8" x14ac:dyDescent="0.25">
      <c r="A61" s="5"/>
      <c r="B61" s="5"/>
      <c r="C61" s="5"/>
      <c r="D61" s="5"/>
      <c r="E61" s="5"/>
      <c r="F61" s="5"/>
      <c r="G61" s="5"/>
      <c r="H61" s="5"/>
    </row>
    <row r="62" spans="1:8" x14ac:dyDescent="0.25">
      <c r="A62" s="5"/>
      <c r="B62" s="5"/>
      <c r="C62" s="5"/>
      <c r="D62" s="5"/>
      <c r="E62" s="5"/>
      <c r="F62" s="5"/>
      <c r="G62" s="5"/>
      <c r="H62" s="5"/>
    </row>
    <row r="63" spans="1:8" x14ac:dyDescent="0.25">
      <c r="A63" s="5"/>
      <c r="B63" s="5"/>
      <c r="C63" s="5"/>
      <c r="D63" s="5"/>
      <c r="E63" s="5"/>
      <c r="F63" s="5"/>
      <c r="G63" s="5"/>
      <c r="H63" s="5"/>
    </row>
    <row r="64" spans="1:8" x14ac:dyDescent="0.25">
      <c r="A64" s="5"/>
      <c r="B64" s="5"/>
      <c r="C64" s="5"/>
      <c r="D64" s="5"/>
      <c r="E64" s="5"/>
      <c r="F64" s="5"/>
      <c r="G64" s="5"/>
      <c r="H64" s="5"/>
    </row>
    <row r="65" spans="1:8" x14ac:dyDescent="0.25">
      <c r="A65" s="5"/>
      <c r="B65" s="5"/>
      <c r="C65" s="5"/>
      <c r="D65" s="5"/>
      <c r="E65" s="5"/>
      <c r="F65" s="5"/>
      <c r="G65" s="5"/>
      <c r="H65" s="5"/>
    </row>
    <row r="66" spans="1:8" x14ac:dyDescent="0.25">
      <c r="A66" s="5"/>
      <c r="B66" s="5"/>
      <c r="C66" s="5"/>
      <c r="D66" s="5"/>
      <c r="E66" s="5"/>
      <c r="F66" s="5"/>
      <c r="G66" s="5"/>
      <c r="H66" s="5"/>
    </row>
    <row r="67" spans="1:8" x14ac:dyDescent="0.25">
      <c r="A67" s="5"/>
      <c r="B67" s="5"/>
      <c r="C67" s="5"/>
      <c r="D67" s="5"/>
      <c r="E67" s="5"/>
      <c r="F67" s="5"/>
      <c r="G67" s="5"/>
      <c r="H67" s="5"/>
    </row>
    <row r="68" spans="1:8" x14ac:dyDescent="0.25">
      <c r="A68" s="5"/>
      <c r="B68" s="5"/>
      <c r="C68" s="5"/>
      <c r="D68" s="5"/>
      <c r="E68" s="5"/>
      <c r="F68" s="5"/>
      <c r="G68" s="5"/>
      <c r="H68" s="5"/>
    </row>
    <row r="69" spans="1:8" x14ac:dyDescent="0.25">
      <c r="A69" s="5"/>
      <c r="B69" s="5"/>
      <c r="C69" s="5"/>
      <c r="D69" s="5"/>
      <c r="E69" s="5"/>
      <c r="F69" s="5"/>
      <c r="G69" s="5"/>
      <c r="H69" s="5"/>
    </row>
    <row r="70" spans="1:8" x14ac:dyDescent="0.25">
      <c r="A70" s="5"/>
      <c r="B70" s="5"/>
      <c r="C70" s="5"/>
      <c r="D70" s="5"/>
      <c r="E70" s="5"/>
      <c r="F70" s="5"/>
      <c r="G70" s="5"/>
      <c r="H70" s="5"/>
    </row>
    <row r="71" spans="1:8" x14ac:dyDescent="0.25">
      <c r="A71" s="5"/>
      <c r="B71" s="5"/>
      <c r="C71" s="5"/>
      <c r="D71" s="5"/>
      <c r="E71" s="5"/>
      <c r="F71" s="5"/>
      <c r="G71" s="5"/>
      <c r="H71" s="5"/>
    </row>
    <row r="72" spans="1:8" x14ac:dyDescent="0.25">
      <c r="A72" s="5"/>
      <c r="B72" s="5"/>
      <c r="C72" s="5"/>
      <c r="D72" s="5"/>
      <c r="E72" s="5"/>
      <c r="F72" s="5"/>
      <c r="G72" s="5"/>
      <c r="H72" s="5"/>
    </row>
    <row r="73" spans="1:8" x14ac:dyDescent="0.25">
      <c r="A73" s="5"/>
      <c r="B73" s="5"/>
      <c r="C73" s="5"/>
      <c r="D73" s="5"/>
      <c r="E73" s="5"/>
      <c r="F73" s="5"/>
      <c r="G73" s="5"/>
      <c r="H73" s="5"/>
    </row>
    <row r="74" spans="1:8" x14ac:dyDescent="0.25">
      <c r="A74" s="5"/>
      <c r="B74" s="5"/>
      <c r="C74" s="5"/>
      <c r="D74" s="5"/>
      <c r="E74" s="5"/>
      <c r="F74" s="5"/>
      <c r="G74" s="5"/>
      <c r="H74" s="5"/>
    </row>
    <row r="75" spans="1:8" x14ac:dyDescent="0.25">
      <c r="A75" s="5"/>
      <c r="B75" s="5"/>
      <c r="C75" s="5"/>
      <c r="D75" s="5"/>
      <c r="E75" s="5"/>
      <c r="F75" s="5"/>
      <c r="G75" s="5"/>
      <c r="H75" s="5"/>
    </row>
    <row r="76" spans="1:8" x14ac:dyDescent="0.25">
      <c r="A76" s="5"/>
      <c r="B76" s="5"/>
      <c r="C76" s="5"/>
      <c r="D76" s="5"/>
      <c r="E76" s="5"/>
      <c r="F76" s="5"/>
      <c r="G76" s="5"/>
      <c r="H76" s="5"/>
    </row>
    <row r="77" spans="1:8" x14ac:dyDescent="0.25">
      <c r="A77" s="5"/>
      <c r="B77" s="5"/>
      <c r="C77" s="5"/>
      <c r="D77" s="5"/>
      <c r="E77" s="5"/>
      <c r="F77" s="5"/>
      <c r="G77" s="5"/>
      <c r="H77" s="5"/>
    </row>
  </sheetData>
  <mergeCells count="19">
    <mergeCell ref="B36:C36"/>
    <mergeCell ref="D36:E36"/>
    <mergeCell ref="F36:G36"/>
    <mergeCell ref="B6:H6"/>
    <mergeCell ref="B39:C39"/>
    <mergeCell ref="D39:E39"/>
    <mergeCell ref="F39:G39"/>
    <mergeCell ref="B35:C35"/>
    <mergeCell ref="D35:E35"/>
    <mergeCell ref="F35:G35"/>
    <mergeCell ref="B40:C40"/>
    <mergeCell ref="D40:E40"/>
    <mergeCell ref="F40:G40"/>
    <mergeCell ref="B37:C37"/>
    <mergeCell ref="D37:E37"/>
    <mergeCell ref="F37:G37"/>
    <mergeCell ref="B38:C38"/>
    <mergeCell ref="D38:E38"/>
    <mergeCell ref="F38:G38"/>
  </mergeCells>
  <pageMargins left="0.7" right="0.5" top="0.75" bottom="0.75" header="0.5" footer="0.3"/>
  <pageSetup paperSize="9" scale="93" orientation="portrait" r:id="rId1"/>
  <headerFooter differentFirst="1" scaleWithDoc="0" alignWithMargins="0">
    <oddHeader>&amp;L&lt;Config ID&gt;&amp;C&amp;"work San,Regular"&amp;10&lt;Version&gt;&amp;R&amp;"work San,Regular"&amp;10&lt;Date&gt;</oddHeader>
    <oddFooter>&amp;L&amp;G&amp;C&amp;"Work Sans,Regular"&amp;10Restricted &amp; Confidential ©KPIT Technologies Ltd&amp;R&amp;"Work Sans,Regular"&amp;10&amp;N</oddFooter>
  </headerFooter>
  <drawing r:id="rId2"/>
  <legacyDrawingHF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A354E-4BCA-4AFA-B19E-DE86A79D5E25}">
  <sheetPr codeName="Sheet4">
    <outlinePr summaryBelow="0" summaryRight="0"/>
    <pageSetUpPr fitToPage="1"/>
  </sheetPr>
  <dimension ref="A1:AF53"/>
  <sheetViews>
    <sheetView showGridLines="0" tabSelected="1" zoomScale="80" zoomScaleNormal="80" zoomScalePageLayoutView="55" workbookViewId="0">
      <pane xSplit="4" ySplit="3" topLeftCell="G4" activePane="bottomRight" state="frozen"/>
      <selection pane="topRight" activeCell="E1" sqref="E1"/>
      <selection pane="bottomLeft" activeCell="A4" sqref="A4"/>
      <selection pane="bottomRight" activeCell="N14" sqref="N14"/>
    </sheetView>
  </sheetViews>
  <sheetFormatPr defaultRowHeight="15" outlineLevelCol="1" x14ac:dyDescent="0.25"/>
  <cols>
    <col min="1" max="1" width="3.44140625" style="30" customWidth="1"/>
    <col min="2" max="2" width="8.21875" customWidth="1"/>
    <col min="3" max="3" width="12.109375" customWidth="1"/>
    <col min="4" max="4" width="15.44140625" customWidth="1"/>
    <col min="5" max="5" width="11.109375" customWidth="1"/>
    <col min="6" max="6" width="29.44140625" customWidth="1" outlineLevel="1"/>
    <col min="7" max="7" width="18" customWidth="1" outlineLevel="1"/>
    <col min="8" max="8" width="10.109375" customWidth="1" outlineLevel="1"/>
    <col min="9" max="9" width="11.44140625" customWidth="1" outlineLevel="1"/>
    <col min="10" max="10" width="11.33203125" customWidth="1" outlineLevel="1"/>
    <col min="11" max="11" width="8.88671875" customWidth="1"/>
    <col min="12" max="12" width="13" customWidth="1"/>
    <col min="13" max="13" width="20.6640625" customWidth="1"/>
    <col min="14" max="15" width="13" customWidth="1"/>
    <col min="16" max="20" width="9.21875" customWidth="1"/>
    <col min="21" max="21" width="10.21875" customWidth="1"/>
    <col min="22" max="22" width="30.44140625" customWidth="1"/>
    <col min="23" max="23" width="16.33203125" bestFit="1" customWidth="1"/>
  </cols>
  <sheetData>
    <row r="1" spans="1:32" ht="15" customHeight="1" x14ac:dyDescent="0.25">
      <c r="A1" s="220" t="s">
        <v>241</v>
      </c>
      <c r="B1" s="220"/>
      <c r="C1" s="220"/>
      <c r="D1" s="220"/>
      <c r="E1" s="220"/>
      <c r="F1" s="220"/>
      <c r="G1" s="220"/>
      <c r="H1" s="220"/>
      <c r="I1" s="220"/>
      <c r="J1" s="220"/>
      <c r="K1" s="220"/>
      <c r="L1" s="221"/>
      <c r="M1" s="200"/>
      <c r="N1" s="200"/>
      <c r="O1" s="200"/>
      <c r="P1" s="224" t="s">
        <v>235</v>
      </c>
      <c r="Q1" s="225"/>
      <c r="R1" s="225"/>
      <c r="S1" s="225"/>
      <c r="T1" s="225"/>
      <c r="U1" s="225"/>
      <c r="V1" s="34"/>
      <c r="W1" s="36"/>
    </row>
    <row r="2" spans="1:32" ht="15" customHeight="1" x14ac:dyDescent="0.25">
      <c r="A2" s="222"/>
      <c r="B2" s="222"/>
      <c r="C2" s="222"/>
      <c r="D2" s="222"/>
      <c r="E2" s="222"/>
      <c r="F2" s="222"/>
      <c r="G2" s="222"/>
      <c r="H2" s="222"/>
      <c r="I2" s="222"/>
      <c r="J2" s="222"/>
      <c r="K2" s="222"/>
      <c r="L2" s="223"/>
      <c r="M2" s="196"/>
      <c r="N2" s="196"/>
      <c r="O2" s="196"/>
      <c r="P2" s="226" t="s">
        <v>337</v>
      </c>
      <c r="Q2" s="227"/>
      <c r="R2" s="228"/>
      <c r="S2" s="226" t="s">
        <v>338</v>
      </c>
      <c r="T2" s="227"/>
      <c r="U2" s="228"/>
      <c r="V2" s="35"/>
      <c r="W2" s="36"/>
      <c r="AA2" s="41" t="s">
        <v>411</v>
      </c>
    </row>
    <row r="3" spans="1:32" s="1" customFormat="1" ht="63" x14ac:dyDescent="0.25">
      <c r="A3" s="115" t="s">
        <v>0</v>
      </c>
      <c r="B3" s="116" t="s">
        <v>176</v>
      </c>
      <c r="C3" s="116" t="s">
        <v>173</v>
      </c>
      <c r="D3" s="116" t="s">
        <v>174</v>
      </c>
      <c r="E3" s="166" t="s">
        <v>106</v>
      </c>
      <c r="F3" s="117" t="s">
        <v>104</v>
      </c>
      <c r="G3" s="117" t="s">
        <v>339</v>
      </c>
      <c r="H3" s="117" t="s">
        <v>175</v>
      </c>
      <c r="I3" s="117" t="s">
        <v>105</v>
      </c>
      <c r="J3" s="117" t="s">
        <v>231</v>
      </c>
      <c r="K3" s="165" t="s">
        <v>230</v>
      </c>
      <c r="L3" s="204" t="s">
        <v>930</v>
      </c>
      <c r="M3" s="165" t="s">
        <v>926</v>
      </c>
      <c r="N3" s="165" t="s">
        <v>927</v>
      </c>
      <c r="O3" s="204" t="s">
        <v>931</v>
      </c>
      <c r="P3" s="118" t="s">
        <v>236</v>
      </c>
      <c r="Q3" s="118" t="s">
        <v>237</v>
      </c>
      <c r="R3" s="118" t="s">
        <v>238</v>
      </c>
      <c r="S3" s="119" t="s">
        <v>239</v>
      </c>
      <c r="T3" s="119" t="s">
        <v>240</v>
      </c>
      <c r="U3" s="119" t="s">
        <v>810</v>
      </c>
      <c r="V3" s="115" t="s">
        <v>932</v>
      </c>
      <c r="W3" s="37" t="s">
        <v>400</v>
      </c>
      <c r="AA3" s="38" t="e">
        <f>IF(Table32[[#This Row],[Metric]]&lt;&gt;"",INDEX(Table4[UOM],MATCH(Table32[[#This Row],[Metric]],Table4[Metric],0)),"")</f>
        <v>#VALUE!</v>
      </c>
      <c r="AB3" s="39" t="e">
        <f>IF(Table32[[#This Row],[Metric]]&lt;&gt;"",INDEX(Table4[Formula],MATCH(Table32[[#This Row],[Metric]],Table4[Metric],0)),"")</f>
        <v>#VALUE!</v>
      </c>
      <c r="AC3" s="39" t="e">
        <f>IF(Table32[[#This Row],[Metric]]&lt;&gt;"",INDEX(Table4[Example],MATCH(Table32[[#This Row],[Metric]],Table4[Metric],0)),"")</f>
        <v>#VALUE!</v>
      </c>
      <c r="AD3" s="40" t="e">
        <f>IF(Table32[[#This Row],[Metric]]&lt;&gt;"",INDEX(Table4[Application Type],MATCH(Table32[[#This Row],[Metric]],Table4[Metric],0)),"")</f>
        <v>#VALUE!</v>
      </c>
      <c r="AE3" s="40" t="e">
        <f>IF(Table32[[#This Row],[Metric]]&lt;&gt;"",INDEX(Table4[Measurable Entity],MATCH(Table32[[#This Row],[Metric]],Table4[Metric],0)),"")</f>
        <v>#VALUE!</v>
      </c>
      <c r="AF3" s="40" t="e">
        <f>IF(Table32[[#This Row],[Metric]]&lt;&gt;"",INDEX(Table4[Metric Classification],MATCH(Table32[[#This Row],[Metric]],Table4[Metric],0)),"")</f>
        <v>#VALUE!</v>
      </c>
    </row>
    <row r="4" spans="1:32" ht="39.950000000000003" hidden="1" customHeight="1" x14ac:dyDescent="0.25">
      <c r="A4" s="152">
        <v>1</v>
      </c>
      <c r="B4" s="192" t="s">
        <v>149</v>
      </c>
      <c r="C4" s="191" t="s">
        <v>897</v>
      </c>
      <c r="D4" s="192" t="s">
        <v>916</v>
      </c>
      <c r="E4" s="154" t="str">
        <f>IF(Table32[[#This Row],[Metric]]&lt;&gt;"",INDEX(Table4[UOM],MATCH(Table32[[#This Row],[Metric]],Table4[Metric],0)),"")</f>
        <v>%</v>
      </c>
      <c r="F4" s="155" t="str">
        <f>IF(Table32[[#This Row],[Metric]]&lt;&gt;"",INDEX(Table4[Formula],MATCH(Table32[[#This Row],[Metric]],Table4[Metric],0)),"")</f>
        <v>Lines of code as comments/ Total lines of code</v>
      </c>
      <c r="G4" s="155" t="str">
        <f>IF(Table32[[#This Row],[Metric]]&lt;&gt;"",INDEX(Table4[Example],MATCH(Table32[[#This Row],[Metric]],Table4[Metric],0)),"")</f>
        <v>Between 20% and 50%</v>
      </c>
      <c r="H4" s="156" t="str">
        <f>IF(Table32[[#This Row],[Metric]]&lt;&gt;"",INDEX(Table4[Application Type],MATCH(Table32[[#This Row],[Metric]],Table4[Metric],0)),"")</f>
        <v>Lead</v>
      </c>
      <c r="I4" s="156" t="str">
        <f>IF(Table32[[#This Row],[Metric]]&lt;&gt;"",INDEX(Table4[Measurable Entity],MATCH(Table32[[#This Row],[Metric]],Table4[Metric],0)),"")</f>
        <v>Product</v>
      </c>
      <c r="J4" s="156" t="str">
        <f>IF(Table32[[#This Row],[Metric]]&lt;&gt;"",INDEX(Table4[Metric Classification],MATCH(Table32[[#This Row],[Metric]],Table4[Metric],0)),"")</f>
        <v>NA</v>
      </c>
      <c r="K4" s="272" t="s">
        <v>884</v>
      </c>
      <c r="L4" s="159" t="s">
        <v>945</v>
      </c>
      <c r="M4" s="202" t="s">
        <v>956</v>
      </c>
      <c r="N4" s="202" t="s">
        <v>945</v>
      </c>
      <c r="O4" s="202" t="s">
        <v>172</v>
      </c>
      <c r="P4" s="158"/>
      <c r="Q4" s="158"/>
      <c r="R4" s="158"/>
      <c r="S4" s="158"/>
      <c r="T4" s="158"/>
      <c r="U4" s="158"/>
      <c r="V4" s="151"/>
      <c r="W4" s="54" t="b">
        <f>ISERROR(IF(Table32[[#This Row],[Metric]]&lt;&gt;"",INDEX(Table4[UOM],MATCH(Table32[[#This Row],[Metric]],Table4[Metric],0)),""))</f>
        <v>0</v>
      </c>
    </row>
    <row r="5" spans="1:32" s="30" customFormat="1" ht="39.950000000000003" hidden="1" customHeight="1" x14ac:dyDescent="0.25">
      <c r="A5" s="152">
        <v>2</v>
      </c>
      <c r="B5" s="192" t="s">
        <v>149</v>
      </c>
      <c r="C5" s="191" t="s">
        <v>897</v>
      </c>
      <c r="D5" s="192" t="s">
        <v>850</v>
      </c>
      <c r="E5" s="154" t="str">
        <f>IF(Table32[[#This Row],[Metric]]&lt;&gt;"",INDEX(Table4[UOM],MATCH(Table32[[#This Row],[Metric]],Table4[Metric],0)),"")</f>
        <v>%</v>
      </c>
      <c r="F5" s="160" t="str">
        <f>IF(Table32[[#This Row],[Metric]]&lt;&gt;"",INDEX(Table4[Formula],MATCH(Table32[[#This Row],[Metric]],Table4[Metric],0)),"")</f>
        <v>Duplicate blocks of code/ Total lines of code</v>
      </c>
      <c r="G5" s="161">
        <f>IF(Table32[[#This Row],[Metric]]&lt;&gt;"",INDEX(Table4[Example],MATCH(Table32[[#This Row],[Metric]],Table4[Metric],0)),"")</f>
        <v>0</v>
      </c>
      <c r="H5" s="162" t="str">
        <f>IF(Table32[[#This Row],[Metric]]&lt;&gt;"",INDEX(Table4[Application Type],MATCH(Table32[[#This Row],[Metric]],Table4[Metric],0)),"")</f>
        <v>Lead</v>
      </c>
      <c r="I5" s="162" t="str">
        <f>IF(Table32[[#This Row],[Metric]]&lt;&gt;"",INDEX(Table4[Measurable Entity],MATCH(Table32[[#This Row],[Metric]],Table4[Metric],0)),"")</f>
        <v>Product</v>
      </c>
      <c r="J5" s="162" t="str">
        <f>IF(Table32[[#This Row],[Metric]]&lt;&gt;"",INDEX(Table4[Metric Classification],MATCH(Table32[[#This Row],[Metric]],Table4[Metric],0)),"")</f>
        <v>Lower the better</v>
      </c>
      <c r="K5" s="163" t="s">
        <v>923</v>
      </c>
      <c r="L5" s="159" t="s">
        <v>945</v>
      </c>
      <c r="M5" s="202" t="s">
        <v>957</v>
      </c>
      <c r="N5" s="202" t="s">
        <v>945</v>
      </c>
      <c r="O5" s="202" t="s">
        <v>172</v>
      </c>
      <c r="P5" s="158"/>
      <c r="Q5" s="158"/>
      <c r="R5" s="158"/>
      <c r="S5" s="158"/>
      <c r="T5" s="158"/>
      <c r="U5" s="158"/>
      <c r="V5" s="151"/>
      <c r="W5" s="54" t="b">
        <f>ISERROR(IF(Table32[[#This Row],[Metric]]&lt;&gt;"",INDEX(Table4[UOM],MATCH(Table32[[#This Row],[Metric]],Table4[Metric],0)),""))</f>
        <v>0</v>
      </c>
    </row>
    <row r="6" spans="1:32" s="30" customFormat="1" ht="39.950000000000003" hidden="1" customHeight="1" x14ac:dyDescent="0.25">
      <c r="A6" s="152">
        <v>3</v>
      </c>
      <c r="B6" s="192" t="s">
        <v>149</v>
      </c>
      <c r="C6" s="191" t="s">
        <v>897</v>
      </c>
      <c r="D6" s="192" t="s">
        <v>917</v>
      </c>
      <c r="E6" s="154" t="str">
        <f>IF(Table32[[#This Row],[Metric]]&lt;&gt;"",INDEX(Table4[UOM],MATCH(Table32[[#This Row],[Metric]],Table4[Metric],0)),"")</f>
        <v>Number</v>
      </c>
      <c r="F6" s="160" t="str">
        <f>IF(Table32[[#This Row],[Metric]]&lt;&gt;"",INDEX(Table4[Formula],MATCH(Table32[[#This Row],[Metric]],Table4[Metric],0)),"")</f>
        <v>Refer Katapult Guidelines</v>
      </c>
      <c r="G6" s="161">
        <f>IF(Table32[[#This Row],[Metric]]&lt;&gt;"",INDEX(Table4[Example],MATCH(Table32[[#This Row],[Metric]],Table4[Metric],0)),"")</f>
        <v>0</v>
      </c>
      <c r="H6" s="162" t="str">
        <f>IF(Table32[[#This Row],[Metric]]&lt;&gt;"",INDEX(Table4[Application Type],MATCH(Table32[[#This Row],[Metric]],Table4[Metric],0)),"")</f>
        <v>Lead</v>
      </c>
      <c r="I6" s="162" t="str">
        <f>IF(Table32[[#This Row],[Metric]]&lt;&gt;"",INDEX(Table4[Measurable Entity],MATCH(Table32[[#This Row],[Metric]],Table4[Metric],0)),"")</f>
        <v>Product</v>
      </c>
      <c r="J6" s="162" t="str">
        <f>IF(Table32[[#This Row],[Metric]]&lt;&gt;"",INDEX(Table4[Metric Classification],MATCH(Table32[[#This Row],[Metric]],Table4[Metric],0)),"")</f>
        <v>Lower the better</v>
      </c>
      <c r="K6" s="201">
        <v>0</v>
      </c>
      <c r="L6" s="159" t="s">
        <v>945</v>
      </c>
      <c r="M6" s="202" t="s">
        <v>954</v>
      </c>
      <c r="N6" s="202" t="s">
        <v>945</v>
      </c>
      <c r="O6" s="202" t="s">
        <v>172</v>
      </c>
      <c r="P6" s="158"/>
      <c r="Q6" s="158"/>
      <c r="R6" s="158"/>
      <c r="S6" s="158"/>
      <c r="T6" s="158"/>
      <c r="U6" s="158"/>
      <c r="V6" s="151"/>
      <c r="W6" s="54" t="b">
        <f>ISERROR(IF(Table32[[#This Row],[Metric]]&lt;&gt;"",INDEX(Table4[UOM],MATCH(Table32[[#This Row],[Metric]],Table4[Metric],0)),""))</f>
        <v>0</v>
      </c>
    </row>
    <row r="7" spans="1:32" s="30" customFormat="1" ht="39.950000000000003" hidden="1" customHeight="1" x14ac:dyDescent="0.25">
      <c r="A7" s="152">
        <v>4</v>
      </c>
      <c r="B7" s="192" t="s">
        <v>149</v>
      </c>
      <c r="C7" s="191" t="s">
        <v>897</v>
      </c>
      <c r="D7" s="192" t="s">
        <v>929</v>
      </c>
      <c r="E7" s="154" t="str">
        <f>IF(Table32[[#This Row],[Metric]]&lt;&gt;"",INDEX(Table4[UOM],MATCH(Table32[[#This Row],[Metric]],Table4[Metric],0)),"")</f>
        <v>Number</v>
      </c>
      <c r="F7" s="160" t="str">
        <f>IF(Table32[[#This Row],[Metric]]&lt;&gt;"",INDEX(Table4[Formula],MATCH(Table32[[#This Row],[Metric]],Table4[Metric],0)),"")</f>
        <v>Refer Katapult Guidelines</v>
      </c>
      <c r="G7" s="161">
        <f>IF(Table32[[#This Row],[Metric]]&lt;&gt;"",INDEX(Table4[Example],MATCH(Table32[[#This Row],[Metric]],Table4[Metric],0)),"")</f>
        <v>0</v>
      </c>
      <c r="H7" s="162" t="str">
        <f>IF(Table32[[#This Row],[Metric]]&lt;&gt;"",INDEX(Table4[Application Type],MATCH(Table32[[#This Row],[Metric]],Table4[Metric],0)),"")</f>
        <v>Lead</v>
      </c>
      <c r="I7" s="162" t="str">
        <f>IF(Table32[[#This Row],[Metric]]&lt;&gt;"",INDEX(Table4[Measurable Entity],MATCH(Table32[[#This Row],[Metric]],Table4[Metric],0)),"")</f>
        <v>Product</v>
      </c>
      <c r="J7" s="162" t="str">
        <f>IF(Table32[[#This Row],[Metric]]&lt;&gt;"",INDEX(Table4[Metric Classification],MATCH(Table32[[#This Row],[Metric]],Table4[Metric],0)),"")</f>
        <v>Lower the better</v>
      </c>
      <c r="K7" s="163" t="s">
        <v>924</v>
      </c>
      <c r="L7" s="159" t="s">
        <v>945</v>
      </c>
      <c r="M7" s="202" t="s">
        <v>958</v>
      </c>
      <c r="N7" s="202" t="s">
        <v>945</v>
      </c>
      <c r="O7" s="202" t="s">
        <v>172</v>
      </c>
      <c r="P7" s="158"/>
      <c r="Q7" s="158"/>
      <c r="R7" s="158"/>
      <c r="S7" s="158"/>
      <c r="T7" s="158"/>
      <c r="U7" s="158"/>
      <c r="V7" s="158"/>
      <c r="W7" s="54" t="b">
        <f>ISERROR(IF(Table32[[#This Row],[Metric]]&lt;&gt;"",INDEX(Table4[UOM],MATCH(Table32[[#This Row],[Metric]],Table4[Metric],0)),""))</f>
        <v>0</v>
      </c>
    </row>
    <row r="8" spans="1:32" s="30" customFormat="1" ht="39.950000000000003" hidden="1" customHeight="1" x14ac:dyDescent="0.25">
      <c r="A8" s="152">
        <v>5</v>
      </c>
      <c r="B8" s="192" t="s">
        <v>149</v>
      </c>
      <c r="C8" s="191" t="s">
        <v>897</v>
      </c>
      <c r="D8" s="192" t="s">
        <v>918</v>
      </c>
      <c r="E8" s="154" t="str">
        <f>IF(Table32[[#This Row],[Metric]]&lt;&gt;"",INDEX(Table4[UOM],MATCH(Table32[[#This Row],[Metric]],Table4[Metric],0)),"")</f>
        <v>Number</v>
      </c>
      <c r="F8" s="160" t="str">
        <f>IF(Table32[[#This Row],[Metric]]&lt;&gt;"",INDEX(Table4[Formula],MATCH(Table32[[#This Row],[Metric]],Table4[Metric],0)),"")</f>
        <v>Refer Katapult Guidelines</v>
      </c>
      <c r="G8" s="161">
        <f>IF(Table32[[#This Row],[Metric]]&lt;&gt;"",INDEX(Table4[Example],MATCH(Table32[[#This Row],[Metric]],Table4[Metric],0)),"")</f>
        <v>0</v>
      </c>
      <c r="H8" s="162" t="str">
        <f>IF(Table32[[#This Row],[Metric]]&lt;&gt;"",INDEX(Table4[Application Type],MATCH(Table32[[#This Row],[Metric]],Table4[Metric],0)),"")</f>
        <v>Lead</v>
      </c>
      <c r="I8" s="162" t="str">
        <f>IF(Table32[[#This Row],[Metric]]&lt;&gt;"",INDEX(Table4[Measurable Entity],MATCH(Table32[[#This Row],[Metric]],Table4[Metric],0)),"")</f>
        <v>Product</v>
      </c>
      <c r="J8" s="162" t="str">
        <f>IF(Table32[[#This Row],[Metric]]&lt;&gt;"",INDEX(Table4[Metric Classification],MATCH(Table32[[#This Row],[Metric]],Table4[Metric],0)),"")</f>
        <v>Smaller the Better</v>
      </c>
      <c r="K8" s="163">
        <v>0</v>
      </c>
      <c r="L8" s="159" t="s">
        <v>945</v>
      </c>
      <c r="M8" s="202" t="s">
        <v>959</v>
      </c>
      <c r="N8" s="202" t="s">
        <v>945</v>
      </c>
      <c r="O8" s="202" t="s">
        <v>172</v>
      </c>
      <c r="P8" s="158"/>
      <c r="Q8" s="158"/>
      <c r="R8" s="158"/>
      <c r="S8" s="158"/>
      <c r="T8" s="158"/>
      <c r="U8" s="158"/>
      <c r="V8" s="158"/>
      <c r="W8" s="54" t="b">
        <f>ISERROR(IF(Table32[[#This Row],[Metric]]&lt;&gt;"",INDEX(Table4[UOM],MATCH(Table32[[#This Row],[Metric]],Table4[Metric],0)),""))</f>
        <v>0</v>
      </c>
    </row>
    <row r="9" spans="1:32" s="30" customFormat="1" ht="39.950000000000003" hidden="1" customHeight="1" x14ac:dyDescent="0.25">
      <c r="A9" s="152">
        <v>6</v>
      </c>
      <c r="B9" s="192" t="s">
        <v>149</v>
      </c>
      <c r="C9" s="191" t="s">
        <v>897</v>
      </c>
      <c r="D9" s="192" t="s">
        <v>928</v>
      </c>
      <c r="E9" s="154" t="str">
        <f>IF(Table32[[#This Row],[Metric]]&lt;&gt;"",INDEX(Table4[UOM],MATCH(Table32[[#This Row],[Metric]],Table4[Metric],0)),"")</f>
        <v>Number</v>
      </c>
      <c r="F9" s="160" t="str">
        <f>IF(Table32[[#This Row],[Metric]]&lt;&gt;"",INDEX(Table4[Formula],MATCH(Table32[[#This Row],[Metric]],Table4[Metric],0)),"")</f>
        <v>Refer Katapult Guidelines</v>
      </c>
      <c r="G9" s="161">
        <f>IF(Table32[[#This Row],[Metric]]&lt;&gt;"",INDEX(Table4[Example],MATCH(Table32[[#This Row],[Metric]],Table4[Metric],0)),"")</f>
        <v>0</v>
      </c>
      <c r="H9" s="162" t="str">
        <f>IF(Table32[[#This Row],[Metric]]&lt;&gt;"",INDEX(Table4[Application Type],MATCH(Table32[[#This Row],[Metric]],Table4[Metric],0)),"")</f>
        <v>Lead</v>
      </c>
      <c r="I9" s="162" t="str">
        <f>IF(Table32[[#This Row],[Metric]]&lt;&gt;"",INDEX(Table4[Measurable Entity],MATCH(Table32[[#This Row],[Metric]],Table4[Metric],0)),"")</f>
        <v>Product</v>
      </c>
      <c r="J9" s="162" t="str">
        <f>IF(Table32[[#This Row],[Metric]]&lt;&gt;"",INDEX(Table4[Metric Classification],MATCH(Table32[[#This Row],[Metric]],Table4[Metric],0)),"")</f>
        <v>Smaller the Better</v>
      </c>
      <c r="K9" s="201">
        <v>0</v>
      </c>
      <c r="L9" s="159" t="s">
        <v>945</v>
      </c>
      <c r="M9" s="202" t="s">
        <v>960</v>
      </c>
      <c r="N9" s="202" t="s">
        <v>945</v>
      </c>
      <c r="O9" s="202" t="s">
        <v>172</v>
      </c>
      <c r="P9" s="158"/>
      <c r="Q9" s="158"/>
      <c r="R9" s="158"/>
      <c r="S9" s="158"/>
      <c r="T9" s="158"/>
      <c r="U9" s="158"/>
      <c r="V9" s="158"/>
      <c r="W9" s="54" t="b">
        <f>ISERROR(IF(Table32[[#This Row],[Metric]]&lt;&gt;"",INDEX(Table4[UOM],MATCH(Table32[[#This Row],[Metric]],Table4[Metric],0)),""))</f>
        <v>0</v>
      </c>
    </row>
    <row r="10" spans="1:32" s="30" customFormat="1" ht="39.950000000000003" hidden="1" customHeight="1" x14ac:dyDescent="0.25">
      <c r="A10" s="152">
        <v>7</v>
      </c>
      <c r="B10" s="192" t="s">
        <v>149</v>
      </c>
      <c r="C10" s="191" t="s">
        <v>897</v>
      </c>
      <c r="D10" s="192" t="s">
        <v>919</v>
      </c>
      <c r="E10" s="154" t="str">
        <f>IF(Table32[[#This Row],[Metric]]&lt;&gt;"",INDEX(Table4[UOM],MATCH(Table32[[#This Row],[Metric]],Table4[Metric],0)),"")</f>
        <v>%</v>
      </c>
      <c r="F10" s="160" t="str">
        <f>IF(Table32[[#This Row],[Metric]]&lt;&gt;"",INDEX(Table4[Formula],MATCH(Table32[[#This Row],[Metric]],Table4[Metric],0)),"")</f>
        <v>Number of Unit Test Cases Passed/ Number of Unit Total Test Cases Executed</v>
      </c>
      <c r="G10" s="161">
        <f>IF(Table32[[#This Row],[Metric]]&lt;&gt;"",INDEX(Table4[Example],MATCH(Table32[[#This Row],[Metric]],Table4[Metric],0)),"")</f>
        <v>0</v>
      </c>
      <c r="H10" s="162" t="str">
        <f>IF(Table32[[#This Row],[Metric]]&lt;&gt;"",INDEX(Table4[Application Type],MATCH(Table32[[#This Row],[Metric]],Table4[Metric],0)),"")</f>
        <v>Lag</v>
      </c>
      <c r="I10" s="162" t="str">
        <f>IF(Table32[[#This Row],[Metric]]&lt;&gt;"",INDEX(Table4[Measurable Entity],MATCH(Table32[[#This Row],[Metric]],Table4[Metric],0)),"")</f>
        <v>Product</v>
      </c>
      <c r="J10" s="162" t="str">
        <f>IF(Table32[[#This Row],[Metric]]&lt;&gt;"",INDEX(Table4[Metric Classification],MATCH(Table32[[#This Row],[Metric]],Table4[Metric],0)),"")</f>
        <v>Larger the Better</v>
      </c>
      <c r="K10" s="190">
        <v>1</v>
      </c>
      <c r="L10" s="159" t="s">
        <v>945</v>
      </c>
      <c r="M10" s="202" t="s">
        <v>955</v>
      </c>
      <c r="N10" s="202" t="s">
        <v>945</v>
      </c>
      <c r="O10" s="202" t="s">
        <v>172</v>
      </c>
      <c r="P10" s="158"/>
      <c r="Q10" s="158"/>
      <c r="R10" s="158"/>
      <c r="S10" s="158"/>
      <c r="T10" s="158"/>
      <c r="U10" s="158"/>
      <c r="V10" s="158"/>
      <c r="W10" s="54" t="b">
        <f>ISERROR(IF(Table32[[#This Row],[Metric]]&lt;&gt;"",INDEX(Table4[UOM],MATCH(Table32[[#This Row],[Metric]],Table4[Metric],0)),""))</f>
        <v>0</v>
      </c>
    </row>
    <row r="11" spans="1:32" s="30" customFormat="1" ht="39.950000000000003" hidden="1" customHeight="1" x14ac:dyDescent="0.25">
      <c r="A11" s="152">
        <v>8</v>
      </c>
      <c r="B11" s="192" t="s">
        <v>149</v>
      </c>
      <c r="C11" s="191" t="s">
        <v>897</v>
      </c>
      <c r="D11" s="192" t="s">
        <v>920</v>
      </c>
      <c r="E11" s="154" t="str">
        <f>IF(Table32[[#This Row],[Metric]]&lt;&gt;"",INDEX(Table4[UOM],MATCH(Table32[[#This Row],[Metric]],Table4[Metric],0)),"")</f>
        <v>%</v>
      </c>
      <c r="F11" s="160" t="str">
        <f>IF(Table32[[#This Row],[Metric]]&lt;&gt;"",INDEX(Table4[Formula],MATCH(Table32[[#This Row],[Metric]],Table4[Metric],0)),"")</f>
        <v>Number of lines of code Tested/Total lines of code executed</v>
      </c>
      <c r="G11" s="161">
        <f>IF(Table32[[#This Row],[Metric]]&lt;&gt;"",INDEX(Table4[Example],MATCH(Table32[[#This Row],[Metric]],Table4[Metric],0)),"")</f>
        <v>0</v>
      </c>
      <c r="H11" s="162" t="str">
        <f>IF(Table32[[#This Row],[Metric]]&lt;&gt;"",INDEX(Table4[Application Type],MATCH(Table32[[#This Row],[Metric]],Table4[Metric],0)),"")</f>
        <v>Lead</v>
      </c>
      <c r="I11" s="162" t="str">
        <f>IF(Table32[[#This Row],[Metric]]&lt;&gt;"",INDEX(Table4[Measurable Entity],MATCH(Table32[[#This Row],[Metric]],Table4[Metric],0)),"")</f>
        <v>Product</v>
      </c>
      <c r="J11" s="162" t="str">
        <f>IF(Table32[[#This Row],[Metric]]&lt;&gt;"",INDEX(Table4[Metric Classification],MATCH(Table32[[#This Row],[Metric]],Table4[Metric],0)),"")</f>
        <v>Larger the Better</v>
      </c>
      <c r="K11" s="190" t="s">
        <v>925</v>
      </c>
      <c r="L11" s="159" t="s">
        <v>945</v>
      </c>
      <c r="M11" s="202" t="s">
        <v>943</v>
      </c>
      <c r="N11" s="202" t="s">
        <v>945</v>
      </c>
      <c r="O11" s="202" t="s">
        <v>172</v>
      </c>
      <c r="P11" s="158"/>
      <c r="Q11" s="158"/>
      <c r="R11" s="158"/>
      <c r="S11" s="158"/>
      <c r="T11" s="158"/>
      <c r="U11" s="158"/>
      <c r="V11" s="158"/>
      <c r="W11" s="54" t="b">
        <f>ISERROR(IF(Table32[[#This Row],[Metric]]&lt;&gt;"",INDEX(Table4[UOM],MATCH(Table32[[#This Row],[Metric]],Table4[Metric],0)),""))</f>
        <v>0</v>
      </c>
    </row>
    <row r="12" spans="1:32" s="30" customFormat="1" ht="39.950000000000003" hidden="1" customHeight="1" x14ac:dyDescent="0.25">
      <c r="A12" s="152">
        <v>9</v>
      </c>
      <c r="B12" s="192" t="s">
        <v>149</v>
      </c>
      <c r="C12" s="191" t="s">
        <v>897</v>
      </c>
      <c r="D12" s="192" t="s">
        <v>921</v>
      </c>
      <c r="E12" s="154" t="str">
        <f>IF(Table32[[#This Row],[Metric]]&lt;&gt;"",INDEX(Table4[UOM],MATCH(Table32[[#This Row],[Metric]],Table4[Metric],0)),"")</f>
        <v>%</v>
      </c>
      <c r="F12" s="160" t="str">
        <f>IF(Table32[[#This Row],[Metric]]&lt;&gt;"",INDEX(Table4[Formula],MATCH(Table32[[#This Row],[Metric]],Table4[Metric],0)),"")</f>
        <v>Number of Test Cases Passed/ Number of Total Test Cases</v>
      </c>
      <c r="G12" s="161">
        <f>IF(Table32[[#This Row],[Metric]]&lt;&gt;"",INDEX(Table4[Example],MATCH(Table32[[#This Row],[Metric]],Table4[Metric],0)),"")</f>
        <v>0</v>
      </c>
      <c r="H12" s="162" t="str">
        <f>IF(Table32[[#This Row],[Metric]]&lt;&gt;"",INDEX(Table4[Application Type],MATCH(Table32[[#This Row],[Metric]],Table4[Metric],0)),"")</f>
        <v>Lag</v>
      </c>
      <c r="I12" s="162" t="str">
        <f>IF(Table32[[#This Row],[Metric]]&lt;&gt;"",INDEX(Table4[Measurable Entity],MATCH(Table32[[#This Row],[Metric]],Table4[Metric],0)),"")</f>
        <v>Product</v>
      </c>
      <c r="J12" s="162" t="str">
        <f>IF(Table32[[#This Row],[Metric]]&lt;&gt;"",INDEX(Table4[Metric Classification],MATCH(Table32[[#This Row],[Metric]],Table4[Metric],0)),"")</f>
        <v>Larger the Better</v>
      </c>
      <c r="K12" s="190">
        <v>1</v>
      </c>
      <c r="L12" s="159" t="s">
        <v>945</v>
      </c>
      <c r="M12" s="202" t="s">
        <v>943</v>
      </c>
      <c r="N12" s="202" t="s">
        <v>945</v>
      </c>
      <c r="O12" s="202" t="s">
        <v>172</v>
      </c>
      <c r="P12" s="158"/>
      <c r="Q12" s="158"/>
      <c r="R12" s="158"/>
      <c r="S12" s="158"/>
      <c r="T12" s="158"/>
      <c r="U12" s="158"/>
      <c r="V12" s="158"/>
      <c r="W12" s="54" t="b">
        <f>ISERROR(IF(Table32[[#This Row],[Metric]]&lt;&gt;"",INDEX(Table4[UOM],MATCH(Table32[[#This Row],[Metric]],Table4[Metric],0)),""))</f>
        <v>0</v>
      </c>
    </row>
    <row r="13" spans="1:32" s="30" customFormat="1" ht="39.950000000000003" hidden="1" customHeight="1" x14ac:dyDescent="0.25">
      <c r="A13" s="152">
        <v>10</v>
      </c>
      <c r="B13" s="153" t="s">
        <v>149</v>
      </c>
      <c r="C13" s="153" t="s">
        <v>858</v>
      </c>
      <c r="D13" s="153" t="s">
        <v>922</v>
      </c>
      <c r="E13" s="154" t="str">
        <f>IF(Table32[[#This Row],[Metric]]&lt;&gt;"",INDEX(Table4[UOM],MATCH(Table32[[#This Row],[Metric]],Table4[Metric],0)),"")</f>
        <v>%</v>
      </c>
      <c r="F13" s="160" t="str">
        <f>IF(Table32[[#This Row],[Metric]]&lt;&gt;"",INDEX(Table4[Formula],MATCH(Table32[[#This Row],[Metric]],Table4[Metric],0)),"")</f>
        <v>(No. of Requirements Implemented in Test Cases / Total No. of Requirements) * 100</v>
      </c>
      <c r="G13" s="161">
        <f>IF(Table32[[#This Row],[Metric]]&lt;&gt;"",INDEX(Table4[Example],MATCH(Table32[[#This Row],[Metric]],Table4[Metric],0)),"")</f>
        <v>0</v>
      </c>
      <c r="H13" s="162" t="str">
        <f>IF(Table32[[#This Row],[Metric]]&lt;&gt;"",INDEX(Table4[Application Type],MATCH(Table32[[#This Row],[Metric]],Table4[Metric],0)),"")</f>
        <v>Lag</v>
      </c>
      <c r="I13" s="162" t="str">
        <f>IF(Table32[[#This Row],[Metric]]&lt;&gt;"",INDEX(Table4[Measurable Entity],MATCH(Table32[[#This Row],[Metric]],Table4[Metric],0)),"")</f>
        <v>Process (Project)</v>
      </c>
      <c r="J13" s="162" t="str">
        <f>IF(Table32[[#This Row],[Metric]]&lt;&gt;"",INDEX(Table4[Metric Classification],MATCH(Table32[[#This Row],[Metric]],Table4[Metric],0)),"")</f>
        <v>Larger the Better</v>
      </c>
      <c r="K13" s="163" t="s">
        <v>925</v>
      </c>
      <c r="L13" s="159" t="s">
        <v>945</v>
      </c>
      <c r="M13" s="202" t="s">
        <v>943</v>
      </c>
      <c r="N13" s="202" t="s">
        <v>945</v>
      </c>
      <c r="O13" s="202" t="s">
        <v>172</v>
      </c>
      <c r="P13" s="158"/>
      <c r="Q13" s="158"/>
      <c r="R13" s="158"/>
      <c r="S13" s="158"/>
      <c r="T13" s="158"/>
      <c r="U13" s="158"/>
      <c r="V13" s="158"/>
      <c r="W13" s="54" t="b">
        <f>ISERROR(IF(Table32[[#This Row],[Metric]]&lt;&gt;"",INDEX(Table4[UOM],MATCH(Table32[[#This Row],[Metric]],Table4[Metric],0)),""))</f>
        <v>0</v>
      </c>
    </row>
    <row r="14" spans="1:32" s="30" customFormat="1" ht="39.950000000000003" customHeight="1" x14ac:dyDescent="0.25">
      <c r="A14" s="152">
        <v>11</v>
      </c>
      <c r="B14" s="153" t="s">
        <v>149</v>
      </c>
      <c r="C14" s="153" t="s">
        <v>897</v>
      </c>
      <c r="D14" s="153" t="s">
        <v>933</v>
      </c>
      <c r="E14" s="214" t="s">
        <v>213</v>
      </c>
      <c r="F14" s="211" t="s">
        <v>943</v>
      </c>
      <c r="G14" s="212"/>
      <c r="H14" s="213" t="s">
        <v>124</v>
      </c>
      <c r="I14" s="213" t="s">
        <v>225</v>
      </c>
      <c r="J14" s="213" t="s">
        <v>817</v>
      </c>
      <c r="K14" s="163" t="s">
        <v>946</v>
      </c>
      <c r="L14" s="159" t="s">
        <v>945</v>
      </c>
      <c r="M14" s="202" t="s">
        <v>954</v>
      </c>
      <c r="N14" s="202" t="s">
        <v>944</v>
      </c>
      <c r="O14" s="202" t="s">
        <v>172</v>
      </c>
      <c r="P14" s="158"/>
      <c r="Q14" s="158"/>
      <c r="R14" s="158"/>
      <c r="S14" s="158"/>
      <c r="T14" s="158"/>
      <c r="U14" s="158"/>
      <c r="V14" s="158"/>
      <c r="W14" s="54" t="b">
        <f>ISERROR(IF(Table32[[#This Row],[Metric]]&lt;&gt;"",INDEX(Table4[UOM],MATCH(Table32[[#This Row],[Metric]],Table4[Metric],0)),""))</f>
        <v>1</v>
      </c>
    </row>
    <row r="15" spans="1:32" s="30" customFormat="1" ht="39.950000000000003" customHeight="1" x14ac:dyDescent="0.25">
      <c r="A15" s="152">
        <v>12</v>
      </c>
      <c r="B15" s="153" t="s">
        <v>149</v>
      </c>
      <c r="C15" s="153" t="s">
        <v>897</v>
      </c>
      <c r="D15" s="153" t="s">
        <v>934</v>
      </c>
      <c r="E15" s="214" t="s">
        <v>213</v>
      </c>
      <c r="F15" s="211" t="s">
        <v>943</v>
      </c>
      <c r="G15" s="212"/>
      <c r="H15" s="213" t="s">
        <v>124</v>
      </c>
      <c r="I15" s="213" t="s">
        <v>225</v>
      </c>
      <c r="J15" s="213" t="s">
        <v>233</v>
      </c>
      <c r="K15" s="163">
        <v>0</v>
      </c>
      <c r="L15" s="159" t="s">
        <v>945</v>
      </c>
      <c r="M15" s="202" t="s">
        <v>954</v>
      </c>
      <c r="N15" s="202" t="s">
        <v>944</v>
      </c>
      <c r="O15" s="202" t="s">
        <v>172</v>
      </c>
      <c r="P15" s="158"/>
      <c r="Q15" s="158"/>
      <c r="R15" s="158"/>
      <c r="S15" s="158"/>
      <c r="T15" s="158"/>
      <c r="U15" s="158"/>
      <c r="V15" s="158"/>
      <c r="W15" s="54" t="b">
        <f>ISERROR(IF(Table32[[#This Row],[Metric]]&lt;&gt;"",INDEX(Table4[UOM],MATCH(Table32[[#This Row],[Metric]],Table4[Metric],0)),""))</f>
        <v>1</v>
      </c>
    </row>
    <row r="16" spans="1:32" ht="39.950000000000003" customHeight="1" x14ac:dyDescent="0.25">
      <c r="A16" s="152">
        <v>13</v>
      </c>
      <c r="B16" s="153" t="s">
        <v>149</v>
      </c>
      <c r="C16" s="153" t="s">
        <v>897</v>
      </c>
      <c r="D16" s="153" t="s">
        <v>935</v>
      </c>
      <c r="E16" s="214" t="s">
        <v>213</v>
      </c>
      <c r="F16" s="211" t="s">
        <v>943</v>
      </c>
      <c r="G16" s="212"/>
      <c r="H16" s="213" t="s">
        <v>124</v>
      </c>
      <c r="I16" s="213" t="s">
        <v>225</v>
      </c>
      <c r="J16" s="213" t="s">
        <v>817</v>
      </c>
      <c r="K16" s="163" t="s">
        <v>947</v>
      </c>
      <c r="L16" s="159" t="s">
        <v>945</v>
      </c>
      <c r="M16" s="202" t="s">
        <v>953</v>
      </c>
      <c r="N16" s="202" t="s">
        <v>944</v>
      </c>
      <c r="O16" s="202" t="s">
        <v>172</v>
      </c>
      <c r="P16" s="158"/>
      <c r="Q16" s="158"/>
      <c r="R16" s="158"/>
      <c r="S16" s="158"/>
      <c r="T16" s="158"/>
      <c r="U16" s="158"/>
      <c r="V16" s="158"/>
      <c r="W16" s="54" t="b">
        <f>ISERROR(IF(Table32[[#This Row],[Metric]]&lt;&gt;"",INDEX(Table4[UOM],MATCH(Table32[[#This Row],[Metric]],Table4[Metric],0)),""))</f>
        <v>1</v>
      </c>
    </row>
    <row r="17" spans="1:23" ht="39.950000000000003" customHeight="1" x14ac:dyDescent="0.25">
      <c r="A17" s="152">
        <v>14</v>
      </c>
      <c r="B17" s="153" t="s">
        <v>149</v>
      </c>
      <c r="C17" s="153" t="s">
        <v>897</v>
      </c>
      <c r="D17" s="153" t="s">
        <v>936</v>
      </c>
      <c r="E17" s="214" t="s">
        <v>213</v>
      </c>
      <c r="F17" s="211" t="s">
        <v>943</v>
      </c>
      <c r="G17" s="212"/>
      <c r="H17" s="213" t="s">
        <v>124</v>
      </c>
      <c r="I17" s="213" t="s">
        <v>225</v>
      </c>
      <c r="J17" s="213" t="s">
        <v>817</v>
      </c>
      <c r="K17" s="163" t="s">
        <v>948</v>
      </c>
      <c r="L17" s="159" t="s">
        <v>945</v>
      </c>
      <c r="M17" s="202" t="s">
        <v>954</v>
      </c>
      <c r="N17" s="202" t="s">
        <v>944</v>
      </c>
      <c r="O17" s="202" t="s">
        <v>172</v>
      </c>
      <c r="P17" s="158"/>
      <c r="Q17" s="158"/>
      <c r="R17" s="158"/>
      <c r="S17" s="158"/>
      <c r="T17" s="158"/>
      <c r="U17" s="158"/>
      <c r="V17" s="158"/>
      <c r="W17" s="54" t="b">
        <f>ISERROR(IF(Table32[[#This Row],[Metric]]&lt;&gt;"",INDEX(Table4[UOM],MATCH(Table32[[#This Row],[Metric]],Table4[Metric],0)),""))</f>
        <v>1</v>
      </c>
    </row>
    <row r="18" spans="1:23" ht="39.950000000000003" customHeight="1" x14ac:dyDescent="0.25">
      <c r="A18" s="152">
        <v>15</v>
      </c>
      <c r="B18" s="153" t="s">
        <v>149</v>
      </c>
      <c r="C18" s="153" t="s">
        <v>897</v>
      </c>
      <c r="D18" s="153" t="s">
        <v>937</v>
      </c>
      <c r="E18" s="214" t="s">
        <v>213</v>
      </c>
      <c r="F18" s="211" t="s">
        <v>943</v>
      </c>
      <c r="G18" s="212"/>
      <c r="H18" s="213" t="s">
        <v>124</v>
      </c>
      <c r="I18" s="213" t="s">
        <v>225</v>
      </c>
      <c r="J18" s="213" t="s">
        <v>817</v>
      </c>
      <c r="K18" s="163" t="s">
        <v>947</v>
      </c>
      <c r="L18" s="159" t="s">
        <v>945</v>
      </c>
      <c r="M18" s="202" t="s">
        <v>954</v>
      </c>
      <c r="N18" s="202" t="s">
        <v>944</v>
      </c>
      <c r="O18" s="202" t="s">
        <v>172</v>
      </c>
      <c r="P18" s="158"/>
      <c r="Q18" s="158"/>
      <c r="R18" s="158"/>
      <c r="S18" s="158"/>
      <c r="T18" s="158"/>
      <c r="U18" s="158"/>
      <c r="V18" s="158"/>
      <c r="W18" s="54" t="b">
        <f>ISERROR(IF(Table32[[#This Row],[Metric]]&lt;&gt;"",INDEX(Table4[UOM],MATCH(Table32[[#This Row],[Metric]],Table4[Metric],0)),""))</f>
        <v>1</v>
      </c>
    </row>
    <row r="19" spans="1:23" ht="39.950000000000003" customHeight="1" x14ac:dyDescent="0.25">
      <c r="A19" s="152">
        <v>16</v>
      </c>
      <c r="B19" s="153" t="s">
        <v>149</v>
      </c>
      <c r="C19" s="153" t="s">
        <v>897</v>
      </c>
      <c r="D19" s="153" t="s">
        <v>938</v>
      </c>
      <c r="E19" s="214" t="s">
        <v>213</v>
      </c>
      <c r="F19" s="211" t="s">
        <v>943</v>
      </c>
      <c r="G19" s="212"/>
      <c r="H19" s="213" t="s">
        <v>124</v>
      </c>
      <c r="I19" s="213" t="s">
        <v>225</v>
      </c>
      <c r="J19" s="213" t="s">
        <v>817</v>
      </c>
      <c r="K19" s="273" t="s">
        <v>949</v>
      </c>
      <c r="L19" s="159" t="s">
        <v>945</v>
      </c>
      <c r="M19" s="202" t="s">
        <v>954</v>
      </c>
      <c r="N19" s="202" t="s">
        <v>944</v>
      </c>
      <c r="O19" s="202" t="s">
        <v>172</v>
      </c>
      <c r="P19" s="158"/>
      <c r="Q19" s="158"/>
      <c r="R19" s="158"/>
      <c r="S19" s="158"/>
      <c r="T19" s="158"/>
      <c r="U19" s="158"/>
      <c r="V19" s="158"/>
      <c r="W19" s="54" t="b">
        <f>ISERROR(IF(Table32[[#This Row],[Metric]]&lt;&gt;"",INDEX(Table4[UOM],MATCH(Table32[[#This Row],[Metric]],Table4[Metric],0)),""))</f>
        <v>1</v>
      </c>
    </row>
    <row r="20" spans="1:23" ht="39.950000000000003" customHeight="1" x14ac:dyDescent="0.25">
      <c r="A20" s="152">
        <v>17</v>
      </c>
      <c r="B20" s="153" t="s">
        <v>149</v>
      </c>
      <c r="C20" s="153" t="s">
        <v>897</v>
      </c>
      <c r="D20" s="153" t="s">
        <v>939</v>
      </c>
      <c r="E20" s="214" t="s">
        <v>213</v>
      </c>
      <c r="F20" s="211" t="s">
        <v>943</v>
      </c>
      <c r="G20" s="212"/>
      <c r="H20" s="213" t="s">
        <v>124</v>
      </c>
      <c r="I20" s="213" t="s">
        <v>225</v>
      </c>
      <c r="J20" s="213" t="s">
        <v>817</v>
      </c>
      <c r="K20" s="273" t="s">
        <v>950</v>
      </c>
      <c r="L20" s="159" t="s">
        <v>945</v>
      </c>
      <c r="M20" s="202" t="s">
        <v>954</v>
      </c>
      <c r="N20" s="202" t="s">
        <v>944</v>
      </c>
      <c r="O20" s="202" t="s">
        <v>172</v>
      </c>
      <c r="P20" s="158"/>
      <c r="Q20" s="158"/>
      <c r="R20" s="158"/>
      <c r="S20" s="158"/>
      <c r="T20" s="158"/>
      <c r="U20" s="158"/>
      <c r="V20" s="158"/>
      <c r="W20" s="54" t="b">
        <f>ISERROR(IF(Table32[[#This Row],[Metric]]&lt;&gt;"",INDEX(Table4[UOM],MATCH(Table32[[#This Row],[Metric]],Table4[Metric],0)),""))</f>
        <v>1</v>
      </c>
    </row>
    <row r="21" spans="1:23" ht="39.950000000000003" customHeight="1" x14ac:dyDescent="0.25">
      <c r="A21" s="152">
        <v>18</v>
      </c>
      <c r="B21" s="153" t="s">
        <v>149</v>
      </c>
      <c r="C21" s="153" t="s">
        <v>897</v>
      </c>
      <c r="D21" s="153" t="s">
        <v>940</v>
      </c>
      <c r="E21" s="214" t="s">
        <v>213</v>
      </c>
      <c r="F21" s="211" t="s">
        <v>943</v>
      </c>
      <c r="G21" s="212"/>
      <c r="H21" s="213" t="s">
        <v>124</v>
      </c>
      <c r="I21" s="213" t="s">
        <v>225</v>
      </c>
      <c r="J21" s="213" t="s">
        <v>233</v>
      </c>
      <c r="K21" s="163" t="s">
        <v>951</v>
      </c>
      <c r="L21" s="159" t="s">
        <v>945</v>
      </c>
      <c r="M21" s="202" t="s">
        <v>954</v>
      </c>
      <c r="N21" s="202" t="s">
        <v>944</v>
      </c>
      <c r="O21" s="202" t="s">
        <v>172</v>
      </c>
      <c r="P21" s="158"/>
      <c r="Q21" s="158"/>
      <c r="R21" s="158"/>
      <c r="S21" s="158"/>
      <c r="T21" s="158"/>
      <c r="U21" s="158"/>
      <c r="V21" s="158"/>
      <c r="W21" s="54" t="b">
        <f>ISERROR(IF(Table32[[#This Row],[Metric]]&lt;&gt;"",INDEX(Table4[UOM],MATCH(Table32[[#This Row],[Metric]],Table4[Metric],0)),""))</f>
        <v>1</v>
      </c>
    </row>
    <row r="22" spans="1:23" ht="39.950000000000003" customHeight="1" x14ac:dyDescent="0.25">
      <c r="A22" s="152">
        <v>19</v>
      </c>
      <c r="B22" s="153" t="s">
        <v>149</v>
      </c>
      <c r="C22" s="153" t="s">
        <v>897</v>
      </c>
      <c r="D22" s="153" t="s">
        <v>941</v>
      </c>
      <c r="E22" s="214" t="s">
        <v>213</v>
      </c>
      <c r="F22" s="211" t="s">
        <v>943</v>
      </c>
      <c r="G22" s="212"/>
      <c r="H22" s="213" t="s">
        <v>124</v>
      </c>
      <c r="I22" s="213" t="s">
        <v>225</v>
      </c>
      <c r="J22" s="213" t="s">
        <v>233</v>
      </c>
      <c r="K22" s="163">
        <v>0</v>
      </c>
      <c r="L22" s="159" t="s">
        <v>945</v>
      </c>
      <c r="M22" s="202" t="s">
        <v>953</v>
      </c>
      <c r="N22" s="202" t="s">
        <v>944</v>
      </c>
      <c r="O22" s="202" t="s">
        <v>172</v>
      </c>
      <c r="P22" s="158"/>
      <c r="Q22" s="158"/>
      <c r="R22" s="158"/>
      <c r="S22" s="158"/>
      <c r="T22" s="158"/>
      <c r="U22" s="158"/>
      <c r="V22" s="158"/>
      <c r="W22" s="54" t="b">
        <f>ISERROR(IF(Table32[[#This Row],[Metric]]&lt;&gt;"",INDEX(Table4[UOM],MATCH(Table32[[#This Row],[Metric]],Table4[Metric],0)),""))</f>
        <v>1</v>
      </c>
    </row>
    <row r="23" spans="1:23" ht="39.950000000000003" customHeight="1" x14ac:dyDescent="0.25">
      <c r="A23" s="152">
        <v>20</v>
      </c>
      <c r="B23" s="153" t="s">
        <v>149</v>
      </c>
      <c r="C23" s="153" t="s">
        <v>897</v>
      </c>
      <c r="D23" s="153" t="s">
        <v>942</v>
      </c>
      <c r="E23" s="214" t="s">
        <v>213</v>
      </c>
      <c r="F23" s="211" t="s">
        <v>943</v>
      </c>
      <c r="G23" s="212"/>
      <c r="H23" s="213" t="s">
        <v>124</v>
      </c>
      <c r="I23" s="213" t="s">
        <v>225</v>
      </c>
      <c r="J23" s="213" t="s">
        <v>817</v>
      </c>
      <c r="K23" s="163" t="s">
        <v>952</v>
      </c>
      <c r="L23" s="159" t="s">
        <v>945</v>
      </c>
      <c r="M23" s="202" t="s">
        <v>954</v>
      </c>
      <c r="N23" s="202" t="s">
        <v>944</v>
      </c>
      <c r="O23" s="202" t="s">
        <v>172</v>
      </c>
      <c r="P23" s="158"/>
      <c r="Q23" s="158"/>
      <c r="R23" s="158"/>
      <c r="S23" s="158"/>
      <c r="T23" s="158"/>
      <c r="U23" s="158"/>
      <c r="V23" s="158"/>
      <c r="W23" s="54" t="b">
        <f>ISERROR(IF(Table32[[#This Row],[Metric]]&lt;&gt;"",INDEX(Table4[UOM],MATCH(Table32[[#This Row],[Metric]],Table4[Metric],0)),""))</f>
        <v>1</v>
      </c>
    </row>
    <row r="24" spans="1:23" ht="39.950000000000003" hidden="1" customHeight="1" x14ac:dyDescent="0.25">
      <c r="A24" s="152">
        <v>21</v>
      </c>
      <c r="B24" s="153"/>
      <c r="C24" s="153"/>
      <c r="D24" s="153"/>
      <c r="E24" s="154" t="str">
        <f>IF(Table32[[#This Row],[Metric]]&lt;&gt;"",INDEX(Table4[UOM],MATCH(Table32[[#This Row],[Metric]],Table4[Metric],0)),"")</f>
        <v/>
      </c>
      <c r="F24" s="160" t="str">
        <f>IF(Table32[[#This Row],[Metric]]&lt;&gt;"",INDEX(Table4[Formula],MATCH(Table32[[#This Row],[Metric]],Table4[Metric],0)),"")</f>
        <v/>
      </c>
      <c r="G24" s="161" t="str">
        <f>IF(Table32[[#This Row],[Metric]]&lt;&gt;"",INDEX(Table4[Example],MATCH(Table32[[#This Row],[Metric]],Table4[Metric],0)),"")</f>
        <v/>
      </c>
      <c r="H24" s="162" t="str">
        <f>IF(Table32[[#This Row],[Metric]]&lt;&gt;"",INDEX(Table4[Application Type],MATCH(Table32[[#This Row],[Metric]],Table4[Metric],0)),"")</f>
        <v/>
      </c>
      <c r="I24" s="162" t="str">
        <f>IF(Table32[[#This Row],[Metric]]&lt;&gt;"",INDEX(Table4[Measurable Entity],MATCH(Table32[[#This Row],[Metric]],Table4[Metric],0)),"")</f>
        <v/>
      </c>
      <c r="J24" s="162" t="str">
        <f>IF(Table32[[#This Row],[Metric]]&lt;&gt;"",INDEX(Table4[Metric Classification],MATCH(Table32[[#This Row],[Metric]],Table4[Metric],0)),"")</f>
        <v/>
      </c>
      <c r="K24" s="163"/>
      <c r="L24" s="159"/>
      <c r="M24" s="202"/>
      <c r="N24" s="202"/>
      <c r="O24" s="203"/>
      <c r="P24" s="158"/>
      <c r="Q24" s="158"/>
      <c r="R24" s="158"/>
      <c r="S24" s="158"/>
      <c r="T24" s="158"/>
      <c r="U24" s="158"/>
      <c r="V24" s="158"/>
      <c r="W24" s="54" t="b">
        <f>ISERROR(IF(Table32[[#This Row],[Metric]]&lt;&gt;"",INDEX(Table4[UOM],MATCH(Table32[[#This Row],[Metric]],Table4[Metric],0)),""))</f>
        <v>0</v>
      </c>
    </row>
    <row r="25" spans="1:23" ht="39.950000000000003" hidden="1" customHeight="1" x14ac:dyDescent="0.25">
      <c r="A25" s="152">
        <v>22</v>
      </c>
      <c r="B25" s="153"/>
      <c r="C25" s="153"/>
      <c r="D25" s="153"/>
      <c r="E25" s="154" t="str">
        <f>IF(Table32[[#This Row],[Metric]]&lt;&gt;"",INDEX(Table4[UOM],MATCH(Table32[[#This Row],[Metric]],Table4[Metric],0)),"")</f>
        <v/>
      </c>
      <c r="F25" s="160" t="str">
        <f>IF(Table32[[#This Row],[Metric]]&lt;&gt;"",INDEX(Table4[Formula],MATCH(Table32[[#This Row],[Metric]],Table4[Metric],0)),"")</f>
        <v/>
      </c>
      <c r="G25" s="161" t="str">
        <f>IF(Table32[[#This Row],[Metric]]&lt;&gt;"",INDEX(Table4[Example],MATCH(Table32[[#This Row],[Metric]],Table4[Metric],0)),"")</f>
        <v/>
      </c>
      <c r="H25" s="162" t="str">
        <f>IF(Table32[[#This Row],[Metric]]&lt;&gt;"",INDEX(Table4[Application Type],MATCH(Table32[[#This Row],[Metric]],Table4[Metric],0)),"")</f>
        <v/>
      </c>
      <c r="I25" s="162" t="str">
        <f>IF(Table32[[#This Row],[Metric]]&lt;&gt;"",INDEX(Table4[Measurable Entity],MATCH(Table32[[#This Row],[Metric]],Table4[Metric],0)),"")</f>
        <v/>
      </c>
      <c r="J25" s="162" t="str">
        <f>IF(Table32[[#This Row],[Metric]]&lt;&gt;"",INDEX(Table4[Metric Classification],MATCH(Table32[[#This Row],[Metric]],Table4[Metric],0)),"")</f>
        <v/>
      </c>
      <c r="K25" s="163"/>
      <c r="L25" s="159"/>
      <c r="M25" s="202"/>
      <c r="N25" s="202"/>
      <c r="O25" s="203"/>
      <c r="P25" s="158"/>
      <c r="Q25" s="158"/>
      <c r="R25" s="158"/>
      <c r="S25" s="158"/>
      <c r="T25" s="158"/>
      <c r="U25" s="158"/>
      <c r="V25" s="158"/>
      <c r="W25" s="54" t="b">
        <f>ISERROR(IF(Table32[[#This Row],[Metric]]&lt;&gt;"",INDEX(Table4[UOM],MATCH(Table32[[#This Row],[Metric]],Table4[Metric],0)),""))</f>
        <v>0</v>
      </c>
    </row>
    <row r="26" spans="1:23" ht="39.950000000000003" hidden="1" customHeight="1" x14ac:dyDescent="0.25">
      <c r="A26" s="152">
        <v>23</v>
      </c>
      <c r="B26" s="153"/>
      <c r="C26" s="153"/>
      <c r="D26" s="153"/>
      <c r="E26" s="154" t="str">
        <f>IF(Table32[[#This Row],[Metric]]&lt;&gt;"",INDEX(Table4[UOM],MATCH(Table32[[#This Row],[Metric]],Table4[Metric],0)),"")</f>
        <v/>
      </c>
      <c r="F26" s="160" t="str">
        <f>IF(Table32[[#This Row],[Metric]]&lt;&gt;"",INDEX(Table4[Formula],MATCH(Table32[[#This Row],[Metric]],Table4[Metric],0)),"")</f>
        <v/>
      </c>
      <c r="G26" s="161" t="str">
        <f>IF(Table32[[#This Row],[Metric]]&lt;&gt;"",INDEX(Table4[Example],MATCH(Table32[[#This Row],[Metric]],Table4[Metric],0)),"")</f>
        <v/>
      </c>
      <c r="H26" s="162" t="str">
        <f>IF(Table32[[#This Row],[Metric]]&lt;&gt;"",INDEX(Table4[Application Type],MATCH(Table32[[#This Row],[Metric]],Table4[Metric],0)),"")</f>
        <v/>
      </c>
      <c r="I26" s="162" t="str">
        <f>IF(Table32[[#This Row],[Metric]]&lt;&gt;"",INDEX(Table4[Measurable Entity],MATCH(Table32[[#This Row],[Metric]],Table4[Metric],0)),"")</f>
        <v/>
      </c>
      <c r="J26" s="162" t="str">
        <f>IF(Table32[[#This Row],[Metric]]&lt;&gt;"",INDEX(Table4[Metric Classification],MATCH(Table32[[#This Row],[Metric]],Table4[Metric],0)),"")</f>
        <v/>
      </c>
      <c r="K26" s="163"/>
      <c r="L26" s="159"/>
      <c r="M26" s="202"/>
      <c r="N26" s="202"/>
      <c r="O26" s="203"/>
      <c r="P26" s="158"/>
      <c r="Q26" s="158"/>
      <c r="R26" s="158"/>
      <c r="S26" s="158"/>
      <c r="T26" s="158"/>
      <c r="U26" s="158"/>
      <c r="V26" s="158"/>
      <c r="W26" s="54" t="b">
        <f>ISERROR(IF(Table32[[#This Row],[Metric]]&lt;&gt;"",INDEX(Table4[UOM],MATCH(Table32[[#This Row],[Metric]],Table4[Metric],0)),""))</f>
        <v>0</v>
      </c>
    </row>
    <row r="27" spans="1:23" ht="39.950000000000003" hidden="1" customHeight="1" x14ac:dyDescent="0.25">
      <c r="A27" s="152">
        <v>24</v>
      </c>
      <c r="B27" s="153"/>
      <c r="C27" s="153"/>
      <c r="D27" s="153"/>
      <c r="E27" s="154" t="str">
        <f>IF(Table32[[#This Row],[Metric]]&lt;&gt;"",INDEX(Table4[UOM],MATCH(Table32[[#This Row],[Metric]],Table4[Metric],0)),"")</f>
        <v/>
      </c>
      <c r="F27" s="160" t="str">
        <f>IF(Table32[[#This Row],[Metric]]&lt;&gt;"",INDEX(Table4[Formula],MATCH(Table32[[#This Row],[Metric]],Table4[Metric],0)),"")</f>
        <v/>
      </c>
      <c r="G27" s="161" t="str">
        <f>IF(Table32[[#This Row],[Metric]]&lt;&gt;"",INDEX(Table4[Example],MATCH(Table32[[#This Row],[Metric]],Table4[Metric],0)),"")</f>
        <v/>
      </c>
      <c r="H27" s="162" t="str">
        <f>IF(Table32[[#This Row],[Metric]]&lt;&gt;"",INDEX(Table4[Application Type],MATCH(Table32[[#This Row],[Metric]],Table4[Metric],0)),"")</f>
        <v/>
      </c>
      <c r="I27" s="162" t="str">
        <f>IF(Table32[[#This Row],[Metric]]&lt;&gt;"",INDEX(Table4[Measurable Entity],MATCH(Table32[[#This Row],[Metric]],Table4[Metric],0)),"")</f>
        <v/>
      </c>
      <c r="J27" s="162" t="str">
        <f>IF(Table32[[#This Row],[Metric]]&lt;&gt;"",INDEX(Table4[Metric Classification],MATCH(Table32[[#This Row],[Metric]],Table4[Metric],0)),"")</f>
        <v/>
      </c>
      <c r="K27" s="163"/>
      <c r="L27" s="159"/>
      <c r="M27" s="202"/>
      <c r="N27" s="202"/>
      <c r="O27" s="203"/>
      <c r="P27" s="158"/>
      <c r="Q27" s="158"/>
      <c r="R27" s="158"/>
      <c r="S27" s="158"/>
      <c r="T27" s="158"/>
      <c r="U27" s="158"/>
      <c r="V27" s="158"/>
      <c r="W27" s="54" t="b">
        <f>ISERROR(IF(Table32[[#This Row],[Metric]]&lt;&gt;"",INDEX(Table4[UOM],MATCH(Table32[[#This Row],[Metric]],Table4[Metric],0)),""))</f>
        <v>0</v>
      </c>
    </row>
    <row r="28" spans="1:23" ht="39.950000000000003" hidden="1" customHeight="1" x14ac:dyDescent="0.25">
      <c r="A28" s="152">
        <v>25</v>
      </c>
      <c r="B28" s="153"/>
      <c r="C28" s="153"/>
      <c r="D28" s="153"/>
      <c r="E28" s="154" t="str">
        <f>IF(Table32[[#This Row],[Metric]]&lt;&gt;"",INDEX(Table4[UOM],MATCH(Table32[[#This Row],[Metric]],Table4[Metric],0)),"")</f>
        <v/>
      </c>
      <c r="F28" s="160" t="str">
        <f>IF(Table32[[#This Row],[Metric]]&lt;&gt;"",INDEX(Table4[Formula],MATCH(Table32[[#This Row],[Metric]],Table4[Metric],0)),"")</f>
        <v/>
      </c>
      <c r="G28" s="161" t="str">
        <f>IF(Table32[[#This Row],[Metric]]&lt;&gt;"",INDEX(Table4[Example],MATCH(Table32[[#This Row],[Metric]],Table4[Metric],0)),"")</f>
        <v/>
      </c>
      <c r="H28" s="162" t="str">
        <f>IF(Table32[[#This Row],[Metric]]&lt;&gt;"",INDEX(Table4[Application Type],MATCH(Table32[[#This Row],[Metric]],Table4[Metric],0)),"")</f>
        <v/>
      </c>
      <c r="I28" s="162" t="str">
        <f>IF(Table32[[#This Row],[Metric]]&lt;&gt;"",INDEX(Table4[Measurable Entity],MATCH(Table32[[#This Row],[Metric]],Table4[Metric],0)),"")</f>
        <v/>
      </c>
      <c r="J28" s="162" t="str">
        <f>IF(Table32[[#This Row],[Metric]]&lt;&gt;"",INDEX(Table4[Metric Classification],MATCH(Table32[[#This Row],[Metric]],Table4[Metric],0)),"")</f>
        <v/>
      </c>
      <c r="K28" s="163"/>
      <c r="L28" s="159"/>
      <c r="M28" s="202"/>
      <c r="N28" s="202"/>
      <c r="O28" s="203"/>
      <c r="P28" s="158"/>
      <c r="Q28" s="158"/>
      <c r="R28" s="158"/>
      <c r="S28" s="158"/>
      <c r="T28" s="158"/>
      <c r="U28" s="158"/>
      <c r="V28" s="158"/>
      <c r="W28" s="54" t="b">
        <f>ISERROR(IF(Table32[[#This Row],[Metric]]&lt;&gt;"",INDEX(Table4[UOM],MATCH(Table32[[#This Row],[Metric]],Table4[Metric],0)),""))</f>
        <v>0</v>
      </c>
    </row>
    <row r="29" spans="1:23" ht="39.950000000000003" hidden="1" customHeight="1" x14ac:dyDescent="0.25">
      <c r="A29" s="152">
        <v>26</v>
      </c>
      <c r="B29" s="153"/>
      <c r="C29" s="153"/>
      <c r="D29" s="153"/>
      <c r="E29" s="154" t="str">
        <f>IF(Table32[[#This Row],[Metric]]&lt;&gt;"",INDEX(Table4[UOM],MATCH(Table32[[#This Row],[Metric]],Table4[Metric],0)),"")</f>
        <v/>
      </c>
      <c r="F29" s="160" t="str">
        <f>IF(Table32[[#This Row],[Metric]]&lt;&gt;"",INDEX(Table4[Formula],MATCH(Table32[[#This Row],[Metric]],Table4[Metric],0)),"")</f>
        <v/>
      </c>
      <c r="G29" s="161" t="str">
        <f>IF(Table32[[#This Row],[Metric]]&lt;&gt;"",INDEX(Table4[Example],MATCH(Table32[[#This Row],[Metric]],Table4[Metric],0)),"")</f>
        <v/>
      </c>
      <c r="H29" s="162" t="str">
        <f>IF(Table32[[#This Row],[Metric]]&lt;&gt;"",INDEX(Table4[Application Type],MATCH(Table32[[#This Row],[Metric]],Table4[Metric],0)),"")</f>
        <v/>
      </c>
      <c r="I29" s="162" t="str">
        <f>IF(Table32[[#This Row],[Metric]]&lt;&gt;"",INDEX(Table4[Measurable Entity],MATCH(Table32[[#This Row],[Metric]],Table4[Metric],0)),"")</f>
        <v/>
      </c>
      <c r="J29" s="162" t="str">
        <f>IF(Table32[[#This Row],[Metric]]&lt;&gt;"",INDEX(Table4[Metric Classification],MATCH(Table32[[#This Row],[Metric]],Table4[Metric],0)),"")</f>
        <v/>
      </c>
      <c r="K29" s="163"/>
      <c r="L29" s="159"/>
      <c r="M29" s="202"/>
      <c r="N29" s="202"/>
      <c r="O29" s="203"/>
      <c r="P29" s="158"/>
      <c r="Q29" s="158"/>
      <c r="R29" s="158"/>
      <c r="S29" s="158"/>
      <c r="T29" s="158"/>
      <c r="U29" s="158"/>
      <c r="V29" s="158"/>
      <c r="W29" s="54" t="b">
        <f>ISERROR(IF(Table32[[#This Row],[Metric]]&lt;&gt;"",INDEX(Table4[UOM],MATCH(Table32[[#This Row],[Metric]],Table4[Metric],0)),""))</f>
        <v>0</v>
      </c>
    </row>
    <row r="30" spans="1:23" ht="39.950000000000003" hidden="1" customHeight="1" x14ac:dyDescent="0.25">
      <c r="A30" s="152">
        <v>27</v>
      </c>
      <c r="B30" s="153"/>
      <c r="C30" s="153"/>
      <c r="D30" s="153"/>
      <c r="E30" s="154" t="str">
        <f>IF(Table32[[#This Row],[Metric]]&lt;&gt;"",INDEX(Table4[UOM],MATCH(Table32[[#This Row],[Metric]],Table4[Metric],0)),"")</f>
        <v/>
      </c>
      <c r="F30" s="160" t="str">
        <f>IF(Table32[[#This Row],[Metric]]&lt;&gt;"",INDEX(Table4[Formula],MATCH(Table32[[#This Row],[Metric]],Table4[Metric],0)),"")</f>
        <v/>
      </c>
      <c r="G30" s="161" t="str">
        <f>IF(Table32[[#This Row],[Metric]]&lt;&gt;"",INDEX(Table4[Example],MATCH(Table32[[#This Row],[Metric]],Table4[Metric],0)),"")</f>
        <v/>
      </c>
      <c r="H30" s="162" t="str">
        <f>IF(Table32[[#This Row],[Metric]]&lt;&gt;"",INDEX(Table4[Application Type],MATCH(Table32[[#This Row],[Metric]],Table4[Metric],0)),"")</f>
        <v/>
      </c>
      <c r="I30" s="162" t="str">
        <f>IF(Table32[[#This Row],[Metric]]&lt;&gt;"",INDEX(Table4[Measurable Entity],MATCH(Table32[[#This Row],[Metric]],Table4[Metric],0)),"")</f>
        <v/>
      </c>
      <c r="J30" s="162" t="str">
        <f>IF(Table32[[#This Row],[Metric]]&lt;&gt;"",INDEX(Table4[Metric Classification],MATCH(Table32[[#This Row],[Metric]],Table4[Metric],0)),"")</f>
        <v/>
      </c>
      <c r="K30" s="163"/>
      <c r="L30" s="159"/>
      <c r="M30" s="202"/>
      <c r="N30" s="202"/>
      <c r="O30" s="203"/>
      <c r="P30" s="158"/>
      <c r="Q30" s="158"/>
      <c r="R30" s="158"/>
      <c r="S30" s="158"/>
      <c r="T30" s="158"/>
      <c r="U30" s="158"/>
      <c r="V30" s="158"/>
      <c r="W30" s="54" t="b">
        <f>ISERROR(IF(Table32[[#This Row],[Metric]]&lt;&gt;"",INDEX(Table4[UOM],MATCH(Table32[[#This Row],[Metric]],Table4[Metric],0)),""))</f>
        <v>0</v>
      </c>
    </row>
    <row r="31" spans="1:23" ht="39.950000000000003" hidden="1" customHeight="1" x14ac:dyDescent="0.25">
      <c r="A31" s="152">
        <v>28</v>
      </c>
      <c r="B31" s="153"/>
      <c r="C31" s="153"/>
      <c r="D31" s="153"/>
      <c r="E31" s="164" t="str">
        <f>IF(Table32[[#This Row],[Metric]]&lt;&gt;"",INDEX(Table4[UOM],MATCH(Table32[[#This Row],[Metric]],Table4[Metric],0)),"")</f>
        <v/>
      </c>
      <c r="F31" s="160" t="str">
        <f>IF(Table32[[#This Row],[Metric]]&lt;&gt;"",INDEX(Table4[Formula],MATCH(Table32[[#This Row],[Metric]],Table4[Metric],0)),"")</f>
        <v/>
      </c>
      <c r="G31" s="161" t="str">
        <f>IF(Table32[[#This Row],[Metric]]&lt;&gt;"",INDEX(Table4[Example],MATCH(Table32[[#This Row],[Metric]],Table4[Metric],0)),"")</f>
        <v/>
      </c>
      <c r="H31" s="162" t="str">
        <f>IF(Table32[[#This Row],[Metric]]&lt;&gt;"",INDEX(Table4[Application Type],MATCH(Table32[[#This Row],[Metric]],Table4[Metric],0)),"")</f>
        <v/>
      </c>
      <c r="I31" s="162" t="str">
        <f>IF(Table32[[#This Row],[Metric]]&lt;&gt;"",INDEX(Table4[Measurable Entity],MATCH(Table32[[#This Row],[Metric]],Table4[Metric],0)),"")</f>
        <v/>
      </c>
      <c r="J31" s="162" t="str">
        <f>IF(Table32[[#This Row],[Metric]]&lt;&gt;"",INDEX(Table4[Metric Classification],MATCH(Table32[[#This Row],[Metric]],Table4[Metric],0)),"")</f>
        <v/>
      </c>
      <c r="K31" s="163"/>
      <c r="L31" s="159"/>
      <c r="M31" s="202"/>
      <c r="N31" s="202"/>
      <c r="O31" s="203"/>
      <c r="P31" s="158"/>
      <c r="Q31" s="158"/>
      <c r="R31" s="158"/>
      <c r="S31" s="158"/>
      <c r="T31" s="158"/>
      <c r="U31" s="158"/>
      <c r="V31" s="158"/>
      <c r="W31" s="54" t="b">
        <f>ISERROR(IF(Table32[[#This Row],[Metric]]&lt;&gt;"",INDEX(Table4[UOM],MATCH(Table32[[#This Row],[Metric]],Table4[Metric],0)),""))</f>
        <v>0</v>
      </c>
    </row>
    <row r="32" spans="1:23" ht="39.950000000000003" hidden="1" customHeight="1" x14ac:dyDescent="0.25">
      <c r="A32" s="152">
        <v>29</v>
      </c>
      <c r="B32" s="153"/>
      <c r="C32" s="153"/>
      <c r="D32" s="153"/>
      <c r="E32" s="164"/>
      <c r="F32" s="160"/>
      <c r="G32" s="161"/>
      <c r="H32" s="162"/>
      <c r="I32" s="162"/>
      <c r="J32" s="162"/>
      <c r="K32" s="163"/>
      <c r="L32" s="159"/>
      <c r="M32" s="202"/>
      <c r="N32" s="202"/>
      <c r="O32" s="203"/>
      <c r="P32" s="158"/>
      <c r="Q32" s="158"/>
      <c r="R32" s="158"/>
      <c r="S32" s="158"/>
      <c r="T32" s="158"/>
      <c r="U32" s="158"/>
      <c r="V32" s="158"/>
      <c r="W32" s="54" t="b">
        <f>ISERROR(IF(Table32[[#This Row],[Metric]]&lt;&gt;"",INDEX(Table4[UOM],MATCH(Table32[[#This Row],[Metric]],Table4[Metric],0)),""))</f>
        <v>0</v>
      </c>
    </row>
    <row r="33" spans="1:23" ht="39.950000000000003" hidden="1" customHeight="1" x14ac:dyDescent="0.25">
      <c r="A33" s="152">
        <v>30</v>
      </c>
      <c r="B33" s="153"/>
      <c r="C33" s="153"/>
      <c r="D33" s="153"/>
      <c r="E33" s="164"/>
      <c r="F33" s="160"/>
      <c r="G33" s="161"/>
      <c r="H33" s="162"/>
      <c r="I33" s="162"/>
      <c r="J33" s="162"/>
      <c r="K33" s="163"/>
      <c r="L33" s="159"/>
      <c r="M33" s="202"/>
      <c r="N33" s="202"/>
      <c r="O33" s="203"/>
      <c r="P33" s="158"/>
      <c r="Q33" s="158"/>
      <c r="R33" s="158"/>
      <c r="S33" s="158"/>
      <c r="T33" s="158"/>
      <c r="U33" s="158"/>
      <c r="V33" s="158"/>
      <c r="W33" s="54" t="b">
        <f>ISERROR(IF(Table32[[#This Row],[Metric]]&lt;&gt;"",INDEX(Table4[UOM],MATCH(Table32[[#This Row],[Metric]],Table4[Metric],0)),""))</f>
        <v>0</v>
      </c>
    </row>
    <row r="34" spans="1:23" ht="39.950000000000003" hidden="1" customHeight="1" x14ac:dyDescent="0.25">
      <c r="A34" s="152">
        <v>31</v>
      </c>
      <c r="B34" s="153"/>
      <c r="C34" s="153"/>
      <c r="D34" s="153"/>
      <c r="E34" s="164"/>
      <c r="F34" s="160"/>
      <c r="G34" s="161"/>
      <c r="H34" s="162"/>
      <c r="I34" s="162"/>
      <c r="J34" s="162"/>
      <c r="K34" s="163"/>
      <c r="L34" s="159"/>
      <c r="M34" s="202"/>
      <c r="N34" s="202"/>
      <c r="O34" s="203"/>
      <c r="P34" s="158"/>
      <c r="Q34" s="158"/>
      <c r="R34" s="158"/>
      <c r="S34" s="158"/>
      <c r="T34" s="158"/>
      <c r="U34" s="158"/>
      <c r="V34" s="158"/>
      <c r="W34" s="54" t="b">
        <f>ISERROR(IF(Table32[[#This Row],[Metric]]&lt;&gt;"",INDEX(Table4[UOM],MATCH(Table32[[#This Row],[Metric]],Table4[Metric],0)),""))</f>
        <v>0</v>
      </c>
    </row>
    <row r="35" spans="1:23" ht="39.950000000000003" hidden="1" customHeight="1" x14ac:dyDescent="0.25">
      <c r="A35" s="152">
        <v>32</v>
      </c>
      <c r="B35" s="153"/>
      <c r="C35" s="153"/>
      <c r="D35" s="153"/>
      <c r="E35" s="164"/>
      <c r="F35" s="160"/>
      <c r="G35" s="161"/>
      <c r="H35" s="162"/>
      <c r="I35" s="162"/>
      <c r="J35" s="162"/>
      <c r="K35" s="163"/>
      <c r="L35" s="159"/>
      <c r="M35" s="202"/>
      <c r="N35" s="202"/>
      <c r="O35" s="203"/>
      <c r="P35" s="158"/>
      <c r="Q35" s="158"/>
      <c r="R35" s="158"/>
      <c r="S35" s="158"/>
      <c r="T35" s="158"/>
      <c r="U35" s="158"/>
      <c r="V35" s="158"/>
      <c r="W35" s="54" t="b">
        <f>ISERROR(IF(Table32[[#This Row],[Metric]]&lt;&gt;"",INDEX(Table4[UOM],MATCH(Table32[[#This Row],[Metric]],Table4[Metric],0)),""))</f>
        <v>0</v>
      </c>
    </row>
    <row r="36" spans="1:23" ht="39.950000000000003" hidden="1" customHeight="1" x14ac:dyDescent="0.25">
      <c r="A36" s="152">
        <v>33</v>
      </c>
      <c r="B36" s="153"/>
      <c r="C36" s="153"/>
      <c r="D36" s="153"/>
      <c r="E36" s="164"/>
      <c r="F36" s="160"/>
      <c r="G36" s="161"/>
      <c r="H36" s="162"/>
      <c r="I36" s="162"/>
      <c r="J36" s="162"/>
      <c r="K36" s="163"/>
      <c r="L36" s="159"/>
      <c r="M36" s="202"/>
      <c r="N36" s="202"/>
      <c r="O36" s="203"/>
      <c r="P36" s="158"/>
      <c r="Q36" s="158"/>
      <c r="R36" s="158"/>
      <c r="S36" s="158"/>
      <c r="T36" s="158"/>
      <c r="U36" s="158"/>
      <c r="V36" s="158"/>
      <c r="W36" s="54" t="b">
        <f>ISERROR(IF(Table32[[#This Row],[Metric]]&lt;&gt;"",INDEX(Table4[UOM],MATCH(Table32[[#This Row],[Metric]],Table4[Metric],0)),""))</f>
        <v>0</v>
      </c>
    </row>
    <row r="37" spans="1:23" ht="39.950000000000003" hidden="1" customHeight="1" x14ac:dyDescent="0.25">
      <c r="A37" s="152">
        <v>34</v>
      </c>
      <c r="B37" s="153"/>
      <c r="C37" s="153"/>
      <c r="D37" s="153"/>
      <c r="E37" s="164"/>
      <c r="F37" s="160"/>
      <c r="G37" s="161"/>
      <c r="H37" s="162"/>
      <c r="I37" s="162"/>
      <c r="J37" s="162"/>
      <c r="K37" s="163"/>
      <c r="L37" s="159"/>
      <c r="M37" s="202"/>
      <c r="N37" s="202"/>
      <c r="O37" s="203"/>
      <c r="P37" s="158"/>
      <c r="Q37" s="158"/>
      <c r="R37" s="158"/>
      <c r="S37" s="158"/>
      <c r="T37" s="158"/>
      <c r="U37" s="158"/>
      <c r="V37" s="158"/>
      <c r="W37" s="54" t="b">
        <f>ISERROR(IF(Table32[[#This Row],[Metric]]&lt;&gt;"",INDEX(Table4[UOM],MATCH(Table32[[#This Row],[Metric]],Table4[Metric],0)),""))</f>
        <v>0</v>
      </c>
    </row>
    <row r="38" spans="1:23" ht="39.950000000000003" hidden="1" customHeight="1" x14ac:dyDescent="0.25">
      <c r="A38" s="152">
        <v>35</v>
      </c>
      <c r="B38" s="153"/>
      <c r="C38" s="153"/>
      <c r="D38" s="153"/>
      <c r="E38" s="164" t="str">
        <f>IF(Table32[[#This Row],[Metric]]&lt;&gt;"",INDEX(Table4[UOM],MATCH(Table32[[#This Row],[Metric]],Table4[Metric],0)),"")</f>
        <v/>
      </c>
      <c r="F38" s="160" t="str">
        <f>IF(Table32[[#This Row],[Metric]]&lt;&gt;"",INDEX(Table4[Formula],MATCH(Table32[[#This Row],[Metric]],Table4[Metric],0)),"")</f>
        <v/>
      </c>
      <c r="G38" s="161" t="str">
        <f>IF(Table32[[#This Row],[Metric]]&lt;&gt;"",INDEX(Table4[Example],MATCH(Table32[[#This Row],[Metric]],Table4[Metric],0)),"")</f>
        <v/>
      </c>
      <c r="H38" s="162" t="str">
        <f>IF(Table32[[#This Row],[Metric]]&lt;&gt;"",INDEX(Table4[Application Type],MATCH(Table32[[#This Row],[Metric]],Table4[Metric],0)),"")</f>
        <v/>
      </c>
      <c r="I38" s="162" t="str">
        <f>IF(Table32[[#This Row],[Metric]]&lt;&gt;"",INDEX(Table4[Measurable Entity],MATCH(Table32[[#This Row],[Metric]],Table4[Metric],0)),"")</f>
        <v/>
      </c>
      <c r="J38" s="162" t="str">
        <f>IF(Table32[[#This Row],[Metric]]&lt;&gt;"",INDEX(Table4[Metric Classification],MATCH(Table32[[#This Row],[Metric]],Table4[Metric],0)),"")</f>
        <v/>
      </c>
      <c r="K38" s="163"/>
      <c r="L38" s="159"/>
      <c r="M38" s="202"/>
      <c r="N38" s="202"/>
      <c r="O38" s="203"/>
      <c r="P38" s="158"/>
      <c r="Q38" s="158"/>
      <c r="R38" s="158"/>
      <c r="S38" s="158"/>
      <c r="T38" s="158"/>
      <c r="U38" s="158"/>
      <c r="V38" s="158"/>
      <c r="W38" s="54" t="b">
        <f>ISERROR(IF(Table32[[#This Row],[Metric]]&lt;&gt;"",INDEX(Table4[UOM],MATCH(Table32[[#This Row],[Metric]],Table4[Metric],0)),""))</f>
        <v>0</v>
      </c>
    </row>
    <row r="39" spans="1:23" ht="41.25" hidden="1" customHeight="1" x14ac:dyDescent="0.25">
      <c r="A39" s="152">
        <v>36</v>
      </c>
      <c r="B39" s="153"/>
      <c r="C39" s="153"/>
      <c r="D39" s="153"/>
      <c r="E39" s="164" t="str">
        <f>IF(Table32[[#This Row],[Metric]]&lt;&gt;"",INDEX(Table4[UOM],MATCH(Table32[[#This Row],[Metric]],Table4[Metric],0)),"")</f>
        <v/>
      </c>
      <c r="F39" s="160" t="str">
        <f>IF(Table32[[#This Row],[Metric]]&lt;&gt;"",INDEX(Table4[Formula],MATCH(Table32[[#This Row],[Metric]],Table4[Metric],0)),"")</f>
        <v/>
      </c>
      <c r="G39" s="161" t="str">
        <f>IF(Table32[[#This Row],[Metric]]&lt;&gt;"",INDEX(Table4[Example],MATCH(Table32[[#This Row],[Metric]],Table4[Metric],0)),"")</f>
        <v/>
      </c>
      <c r="H39" s="162" t="str">
        <f>IF(Table32[[#This Row],[Metric]]&lt;&gt;"",INDEX(Table4[Application Type],MATCH(Table32[[#This Row],[Metric]],Table4[Metric],0)),"")</f>
        <v/>
      </c>
      <c r="I39" s="162" t="str">
        <f>IF(Table32[[#This Row],[Metric]]&lt;&gt;"",INDEX(Table4[Measurable Entity],MATCH(Table32[[#This Row],[Metric]],Table4[Metric],0)),"")</f>
        <v/>
      </c>
      <c r="J39" s="162" t="str">
        <f>IF(Table32[[#This Row],[Metric]]&lt;&gt;"",INDEX(Table4[Metric Classification],MATCH(Table32[[#This Row],[Metric]],Table4[Metric],0)),"")</f>
        <v/>
      </c>
      <c r="K39" s="163"/>
      <c r="L39" s="159"/>
      <c r="M39" s="202"/>
      <c r="N39" s="202"/>
      <c r="O39" s="203"/>
      <c r="P39" s="158"/>
      <c r="Q39" s="158"/>
      <c r="R39" s="158"/>
      <c r="S39" s="158"/>
      <c r="T39" s="158"/>
      <c r="U39" s="158"/>
      <c r="V39" s="158"/>
      <c r="W39" s="54" t="b">
        <f>ISERROR(IF(Table32[[#This Row],[Metric]]&lt;&gt;"",INDEX(Table4[UOM],MATCH(Table32[[#This Row],[Metric]],Table4[Metric],0)),""))</f>
        <v>0</v>
      </c>
    </row>
    <row r="40" spans="1:23" ht="15.75" hidden="1" x14ac:dyDescent="0.25">
      <c r="A40" s="152"/>
      <c r="B40" s="153"/>
      <c r="C40" s="153"/>
      <c r="D40" s="153"/>
      <c r="E40" s="164" t="str">
        <f>IF(Table32[[#This Row],[Metric]]&lt;&gt;"",INDEX(Table4[UOM],MATCH(Table32[[#This Row],[Metric]],Table4[Metric],0)),"")</f>
        <v/>
      </c>
      <c r="F40" s="161" t="str">
        <f>IF(Table32[[#This Row],[Metric]]&lt;&gt;"",INDEX(Table4[Formula],MATCH(Table32[[#This Row],[Metric]],Table4[Metric],0)),"")</f>
        <v/>
      </c>
      <c r="G40" s="161" t="str">
        <f>IF(Table32[[#This Row],[Metric]]&lt;&gt;"",INDEX(Table4[Example],MATCH(Table32[[#This Row],[Metric]],Table4[Metric],0)),"")</f>
        <v/>
      </c>
      <c r="H40" s="162" t="str">
        <f>IF(Table32[[#This Row],[Metric]]&lt;&gt;"",INDEX(Table4[Application Type],MATCH(Table32[[#This Row],[Metric]],Table4[Metric],0)),"")</f>
        <v/>
      </c>
      <c r="I40" s="162" t="str">
        <f>IF(Table32[[#This Row],[Metric]]&lt;&gt;"",INDEX(Table4[Measurable Entity],MATCH(Table32[[#This Row],[Metric]],Table4[Metric],0)),"")</f>
        <v/>
      </c>
      <c r="J40" s="162" t="str">
        <f>IF(Table32[[#This Row],[Metric]]&lt;&gt;"",INDEX(Table4[Metric Classification],MATCH(Table32[[#This Row],[Metric]],Table4[Metric],0)),"")</f>
        <v/>
      </c>
      <c r="K40" s="163"/>
      <c r="L40" s="159"/>
      <c r="M40" s="202"/>
      <c r="N40" s="202"/>
      <c r="O40" s="203"/>
      <c r="P40" s="158"/>
      <c r="Q40" s="158"/>
      <c r="R40" s="158"/>
      <c r="S40" s="158"/>
      <c r="T40" s="158"/>
      <c r="U40" s="158"/>
      <c r="V40" s="194"/>
      <c r="W40" s="193"/>
    </row>
    <row r="41" spans="1:23" ht="15.75" hidden="1" x14ac:dyDescent="0.25">
      <c r="A41" s="152"/>
      <c r="B41" s="153"/>
      <c r="C41" s="153"/>
      <c r="D41" s="153"/>
      <c r="E41" s="164"/>
      <c r="F41" s="161"/>
      <c r="G41" s="161"/>
      <c r="H41" s="162"/>
      <c r="I41" s="162"/>
      <c r="J41" s="162"/>
      <c r="K41" s="163"/>
      <c r="L41" s="159"/>
      <c r="M41" s="202"/>
      <c r="N41" s="202"/>
      <c r="O41" s="203"/>
      <c r="P41" s="158"/>
      <c r="Q41" s="158"/>
      <c r="R41" s="158"/>
      <c r="S41" s="158"/>
      <c r="T41" s="158"/>
      <c r="U41" s="158"/>
      <c r="V41" s="194"/>
      <c r="W41" s="193"/>
    </row>
    <row r="42" spans="1:23" ht="15.75" hidden="1" x14ac:dyDescent="0.25">
      <c r="A42" s="152"/>
      <c r="B42" s="153"/>
      <c r="C42" s="153"/>
      <c r="D42" s="153"/>
      <c r="E42" s="164"/>
      <c r="F42" s="161"/>
      <c r="G42" s="161"/>
      <c r="H42" s="162"/>
      <c r="I42" s="162"/>
      <c r="J42" s="162"/>
      <c r="K42" s="163"/>
      <c r="L42" s="159"/>
      <c r="M42" s="202"/>
      <c r="N42" s="202"/>
      <c r="O42" s="203"/>
      <c r="P42" s="158"/>
      <c r="Q42" s="158"/>
      <c r="R42" s="158"/>
      <c r="S42" s="158"/>
      <c r="T42" s="158"/>
      <c r="U42" s="158"/>
      <c r="V42" s="194"/>
      <c r="W42" s="193"/>
    </row>
    <row r="43" spans="1:23" ht="15.75" hidden="1" x14ac:dyDescent="0.25">
      <c r="A43" s="152"/>
      <c r="B43" s="153"/>
      <c r="C43" s="153"/>
      <c r="D43" s="153"/>
      <c r="E43" s="164"/>
      <c r="F43" s="161"/>
      <c r="G43" s="161"/>
      <c r="H43" s="162"/>
      <c r="I43" s="162"/>
      <c r="J43" s="162"/>
      <c r="K43" s="163"/>
      <c r="L43" s="159"/>
      <c r="M43" s="202"/>
      <c r="N43" s="202"/>
      <c r="O43" s="203"/>
      <c r="P43" s="158"/>
      <c r="Q43" s="158"/>
      <c r="R43" s="158"/>
      <c r="S43" s="158"/>
      <c r="T43" s="158"/>
      <c r="U43" s="158"/>
      <c r="V43" s="194"/>
      <c r="W43" s="193"/>
    </row>
    <row r="44" spans="1:23" x14ac:dyDescent="0.25">
      <c r="B44" s="30"/>
      <c r="C44" s="30"/>
      <c r="D44" s="30"/>
      <c r="K44" s="30"/>
      <c r="L44" s="30"/>
      <c r="M44" s="30"/>
      <c r="N44" s="30"/>
      <c r="O44" s="30"/>
      <c r="P44" s="30"/>
      <c r="Q44" s="30"/>
      <c r="R44" s="30"/>
      <c r="S44" s="30"/>
      <c r="T44" s="30"/>
      <c r="U44" s="30"/>
      <c r="V44" s="30"/>
    </row>
    <row r="45" spans="1:23" x14ac:dyDescent="0.25">
      <c r="B45" s="30"/>
      <c r="C45" s="30"/>
      <c r="D45" s="30"/>
      <c r="K45" s="30"/>
      <c r="L45" s="30"/>
      <c r="M45" s="30"/>
      <c r="N45" s="30"/>
      <c r="O45" s="30"/>
      <c r="P45" s="30"/>
      <c r="Q45" s="30"/>
      <c r="R45" s="30"/>
      <c r="S45" s="30"/>
      <c r="T45" s="30"/>
      <c r="U45" s="30"/>
      <c r="V45" s="30"/>
    </row>
    <row r="46" spans="1:23" x14ac:dyDescent="0.25">
      <c r="B46" s="30"/>
      <c r="C46" s="30"/>
      <c r="D46" s="30"/>
      <c r="K46" s="30"/>
      <c r="L46" s="30"/>
      <c r="M46" s="30"/>
      <c r="N46" s="30"/>
      <c r="O46" s="30"/>
      <c r="P46" s="30"/>
      <c r="Q46" s="30"/>
      <c r="R46" s="30"/>
      <c r="S46" s="30"/>
      <c r="T46" s="30"/>
      <c r="U46" s="30"/>
      <c r="V46" s="30"/>
    </row>
    <row r="47" spans="1:23" x14ac:dyDescent="0.25">
      <c r="B47" s="30"/>
      <c r="C47" s="30"/>
      <c r="D47" s="30"/>
      <c r="K47" s="30"/>
      <c r="L47" s="30"/>
      <c r="M47" s="30"/>
      <c r="N47" s="30"/>
      <c r="O47" s="30"/>
      <c r="P47" s="30"/>
      <c r="Q47" s="30"/>
      <c r="R47" s="30"/>
      <c r="S47" s="30"/>
      <c r="T47" s="30"/>
      <c r="U47" s="30"/>
      <c r="V47" s="30"/>
    </row>
    <row r="48" spans="1:23" x14ac:dyDescent="0.25">
      <c r="B48" s="30"/>
      <c r="C48" s="30"/>
      <c r="D48" s="30"/>
      <c r="K48" s="30"/>
      <c r="L48" s="30"/>
      <c r="M48" s="30"/>
      <c r="N48" s="30"/>
      <c r="O48" s="30"/>
      <c r="P48" s="30"/>
      <c r="Q48" s="30"/>
      <c r="R48" s="30"/>
      <c r="S48" s="30"/>
      <c r="T48" s="30"/>
      <c r="U48" s="30"/>
      <c r="V48" s="30"/>
    </row>
    <row r="49" spans="2:10" x14ac:dyDescent="0.25">
      <c r="B49" s="30"/>
      <c r="C49" s="30"/>
      <c r="D49" s="30"/>
    </row>
    <row r="50" spans="2:10" x14ac:dyDescent="0.25">
      <c r="B50" s="30"/>
      <c r="C50" s="30"/>
      <c r="D50" s="30"/>
    </row>
    <row r="51" spans="2:10" x14ac:dyDescent="0.25">
      <c r="B51" s="30"/>
      <c r="C51" s="30"/>
      <c r="D51" s="30"/>
    </row>
    <row r="52" spans="2:10" x14ac:dyDescent="0.25">
      <c r="B52" s="30"/>
      <c r="C52" s="30"/>
      <c r="D52" s="30"/>
    </row>
    <row r="53" spans="2:10" x14ac:dyDescent="0.25">
      <c r="E53" s="33"/>
      <c r="F53" s="33"/>
      <c r="G53" s="33"/>
      <c r="H53" s="33"/>
      <c r="I53" s="33"/>
      <c r="J53" s="33"/>
    </row>
  </sheetData>
  <sheetProtection algorithmName="SHA-512" hashValue="aWV4aS9/vaWpIdF/EUHMoKpZ8cV+PRF8MJxIEPmxC0xA0CQTU5wH/AfS7dGvf0qnFoEBdD3sH81tk3LhGX8ytw==" saltValue="wizXQOq/wK+1x9AzVDaTLw==" spinCount="100000" sheet="1" objects="1" scenarios="1" formatCells="0"/>
  <mergeCells count="4">
    <mergeCell ref="A1:L2"/>
    <mergeCell ref="P1:U1"/>
    <mergeCell ref="P2:R2"/>
    <mergeCell ref="S2:U2"/>
  </mergeCells>
  <conditionalFormatting sqref="AA3:AF3">
    <cfRule type="expression" dxfId="235" priority="1">
      <formula>ISERROR(AA3)</formula>
    </cfRule>
  </conditionalFormatting>
  <dataValidations xWindow="872" yWindow="305" count="6">
    <dataValidation allowBlank="1" showErrorMessage="1" prompt="If any katapult parameters are not applicable justification is mandatory" sqref="V3" xr:uid="{E5787F60-369E-4C9D-9E9F-78DE067E44CD}"/>
    <dataValidation type="list" errorStyle="information" allowBlank="1" showInputMessage="1" showErrorMessage="1" sqref="AA3 D4:E43" xr:uid="{C8E56C95-9DD9-4CA3-A966-48956D92951F}">
      <formula1>SelectedMetrics</formula1>
    </dataValidation>
    <dataValidation type="list" allowBlank="1" showInputMessage="1" showErrorMessage="1" sqref="P4:U43" xr:uid="{30D0E75C-5756-486C-ACD1-56249EAA9F6B}">
      <formula1>"Yes"</formula1>
    </dataValidation>
    <dataValidation type="list" errorStyle="information" allowBlank="1" showInputMessage="1" showErrorMessage="1" sqref="C4:C43" xr:uid="{86EDE89D-E317-4E9D-9EE4-835D19F61EC9}">
      <formula1>SelectedKPIs</formula1>
    </dataValidation>
    <dataValidation type="list" errorStyle="information" allowBlank="1" showInputMessage="1" showErrorMessage="1" sqref="B4:B43" xr:uid="{049372C8-DAF3-43DD-B06D-04E54B358126}">
      <formula1>Cats</formula1>
    </dataValidation>
    <dataValidation type="list" allowBlank="1" showInputMessage="1" showErrorMessage="1" sqref="L4:L43 N4:N43" xr:uid="{2346AD70-089A-4BAB-922A-446957736E3C}">
      <formula1>"Yes,No"</formula1>
    </dataValidation>
  </dataValidations>
  <pageMargins left="0.7" right="0.7" top="0.75" bottom="0.75" header="0.3" footer="0.3"/>
  <pageSetup scale="53" fitToHeight="0" orientation="landscape" r:id="rId1"/>
  <rowBreaks count="1" manualBreakCount="1">
    <brk id="21" max="18" man="1"/>
  </rowBreaks>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pageSetUpPr fitToPage="1"/>
  </sheetPr>
  <dimension ref="A1:AC56"/>
  <sheetViews>
    <sheetView showGridLines="0" zoomScale="80" zoomScaleNormal="80" zoomScalePageLayoutView="55" workbookViewId="0">
      <pane xSplit="4" ySplit="3" topLeftCell="E4" activePane="bottomRight" state="frozen"/>
      <selection pane="topRight" activeCell="E1" sqref="E1"/>
      <selection pane="bottomLeft" activeCell="A4" sqref="A4"/>
      <selection pane="bottomRight" activeCell="R3" sqref="R3"/>
    </sheetView>
  </sheetViews>
  <sheetFormatPr defaultRowHeight="15" outlineLevelCol="1" x14ac:dyDescent="0.25"/>
  <cols>
    <col min="1" max="1" width="5.21875" style="30" customWidth="1"/>
    <col min="2" max="2" width="13.88671875" customWidth="1"/>
    <col min="3" max="3" width="27.77734375" customWidth="1"/>
    <col min="4" max="4" width="25.77734375" bestFit="1" customWidth="1"/>
    <col min="5" max="5" width="21.109375" customWidth="1" collapsed="1"/>
    <col min="6" max="6" width="29.44140625" hidden="1" customWidth="1" outlineLevel="1"/>
    <col min="7" max="7" width="44.21875" hidden="1" customWidth="1" outlineLevel="1"/>
    <col min="8" max="8" width="13.6640625" hidden="1" customWidth="1" outlineLevel="1"/>
    <col min="9" max="9" width="11.44140625" hidden="1" customWidth="1" outlineLevel="1"/>
    <col min="10" max="10" width="11.33203125" hidden="1" customWidth="1" outlineLevel="1"/>
    <col min="11" max="11" width="8.88671875" customWidth="1"/>
    <col min="12" max="12" width="13" customWidth="1"/>
    <col min="13" max="17" width="9.21875" customWidth="1"/>
    <col min="18" max="18" width="10.21875" customWidth="1"/>
    <col min="19" max="19" width="30.44140625" customWidth="1"/>
    <col min="20" max="20" width="16.33203125" bestFit="1" customWidth="1"/>
  </cols>
  <sheetData>
    <row r="1" spans="1:29" ht="15" customHeight="1" x14ac:dyDescent="0.25">
      <c r="A1" s="220" t="s">
        <v>241</v>
      </c>
      <c r="B1" s="220"/>
      <c r="C1" s="220"/>
      <c r="D1" s="220"/>
      <c r="E1" s="220"/>
      <c r="F1" s="220"/>
      <c r="G1" s="220"/>
      <c r="H1" s="220"/>
      <c r="I1" s="220"/>
      <c r="J1" s="220"/>
      <c r="K1" s="220"/>
      <c r="L1" s="221"/>
      <c r="M1" s="224" t="s">
        <v>235</v>
      </c>
      <c r="N1" s="225"/>
      <c r="O1" s="225"/>
      <c r="P1" s="225"/>
      <c r="Q1" s="225"/>
      <c r="R1" s="225"/>
      <c r="S1" s="34"/>
      <c r="T1" s="36"/>
    </row>
    <row r="2" spans="1:29" ht="15" customHeight="1" x14ac:dyDescent="0.25">
      <c r="A2" s="222"/>
      <c r="B2" s="222"/>
      <c r="C2" s="222"/>
      <c r="D2" s="222"/>
      <c r="E2" s="222"/>
      <c r="F2" s="222"/>
      <c r="G2" s="222"/>
      <c r="H2" s="222"/>
      <c r="I2" s="222"/>
      <c r="J2" s="222"/>
      <c r="K2" s="222"/>
      <c r="L2" s="223"/>
      <c r="M2" s="226" t="s">
        <v>337</v>
      </c>
      <c r="N2" s="227"/>
      <c r="O2" s="228"/>
      <c r="P2" s="226" t="s">
        <v>338</v>
      </c>
      <c r="Q2" s="227"/>
      <c r="R2" s="228"/>
      <c r="S2" s="35"/>
      <c r="T2" s="36"/>
      <c r="X2" s="41" t="s">
        <v>411</v>
      </c>
    </row>
    <row r="3" spans="1:29" s="1" customFormat="1" ht="47.25" x14ac:dyDescent="0.25">
      <c r="A3" s="115" t="s">
        <v>0</v>
      </c>
      <c r="B3" s="116" t="s">
        <v>176</v>
      </c>
      <c r="C3" s="116" t="s">
        <v>173</v>
      </c>
      <c r="D3" s="116" t="s">
        <v>174</v>
      </c>
      <c r="E3" s="166" t="s">
        <v>106</v>
      </c>
      <c r="F3" s="117" t="s">
        <v>104</v>
      </c>
      <c r="G3" s="117" t="s">
        <v>339</v>
      </c>
      <c r="H3" s="117" t="s">
        <v>175</v>
      </c>
      <c r="I3" s="117" t="s">
        <v>105</v>
      </c>
      <c r="J3" s="117" t="s">
        <v>231</v>
      </c>
      <c r="K3" s="165" t="s">
        <v>230</v>
      </c>
      <c r="L3" s="165" t="s">
        <v>611</v>
      </c>
      <c r="M3" s="118" t="s">
        <v>236</v>
      </c>
      <c r="N3" s="118" t="s">
        <v>237</v>
      </c>
      <c r="O3" s="118" t="s">
        <v>238</v>
      </c>
      <c r="P3" s="119" t="s">
        <v>239</v>
      </c>
      <c r="Q3" s="119" t="s">
        <v>240</v>
      </c>
      <c r="R3" s="119" t="s">
        <v>810</v>
      </c>
      <c r="S3" s="116" t="s">
        <v>885</v>
      </c>
      <c r="T3" s="37" t="s">
        <v>400</v>
      </c>
      <c r="X3" s="38" t="e">
        <f>IF(Table3[[#This Row],[Metric]]&lt;&gt;"",INDEX(Table4[UOM],MATCH(Table3[[#This Row],[Metric]],Table4[Metric],0)),"")</f>
        <v>#VALUE!</v>
      </c>
      <c r="Y3" s="39" t="e">
        <f>IF(Table3[[#This Row],[Metric]]&lt;&gt;"",INDEX(Table4[Formula],MATCH(Table3[[#This Row],[Metric]],Table4[Metric],0)),"")</f>
        <v>#VALUE!</v>
      </c>
      <c r="Z3" s="39" t="e">
        <f>IF(Table3[[#This Row],[Metric]]&lt;&gt;"",INDEX(Table4[Example],MATCH(Table3[[#This Row],[Metric]],Table4[Metric],0)),"")</f>
        <v>#VALUE!</v>
      </c>
      <c r="AA3" s="40" t="e">
        <f>IF(Table3[[#This Row],[Metric]]&lt;&gt;"",INDEX(Table4[Application Type],MATCH(Table3[[#This Row],[Metric]],Table4[Metric],0)),"")</f>
        <v>#VALUE!</v>
      </c>
      <c r="AB3" s="40" t="e">
        <f>IF(Table3[[#This Row],[Metric]]&lt;&gt;"",INDEX(Table4[Measurable Entity],MATCH(Table3[[#This Row],[Metric]],Table4[Metric],0)),"")</f>
        <v>#VALUE!</v>
      </c>
      <c r="AC3" s="40" t="e">
        <f>IF(Table3[[#This Row],[Metric]]&lt;&gt;"",INDEX(Table4[Metric Classification],MATCH(Table3[[#This Row],[Metric]],Table4[Metric],0)),"")</f>
        <v>#VALUE!</v>
      </c>
    </row>
    <row r="4" spans="1:29" s="30" customFormat="1" ht="39.950000000000003" customHeight="1" x14ac:dyDescent="0.25">
      <c r="A4" s="195">
        <v>1</v>
      </c>
      <c r="B4" s="192" t="s">
        <v>149</v>
      </c>
      <c r="C4" s="192" t="s">
        <v>150</v>
      </c>
      <c r="D4" s="192" t="s">
        <v>898</v>
      </c>
      <c r="E4" s="154" t="str">
        <f>IF(Table3[[#This Row],[Metric]]&lt;&gt;"",INDEX(Table4[UOM],MATCH(Table3[[#This Row],[Metric]],Table4[Metric],0)),"")</f>
        <v>%</v>
      </c>
      <c r="F4" s="160" t="str">
        <f>IF(Table3[[#This Row],[Metric]]&lt;&gt;"",INDEX(Table4[Formula],MATCH(Table3[[#This Row],[Metric]],Table4[Metric],0)),"")</f>
        <v>100 - (Rework Effort to fix findings from Customer / Total Effort x 100)</v>
      </c>
      <c r="G4" s="161">
        <f>IF(Table3[[#This Row],[Metric]]&lt;&gt;"",INDEX(Table4[Example],MATCH(Table3[[#This Row],[Metric]],Table4[Metric],0)),"")</f>
        <v>0</v>
      </c>
      <c r="H4" s="162" t="str">
        <f>IF(Table3[[#This Row],[Metric]]&lt;&gt;"",INDEX(Table4[Application Type],MATCH(Table3[[#This Row],[Metric]],Table4[Metric],0)),"")</f>
        <v>Lag</v>
      </c>
      <c r="I4" s="162" t="str">
        <f>IF(Table3[[#This Row],[Metric]]&lt;&gt;"",INDEX(Table4[Measurable Entity],MATCH(Table3[[#This Row],[Metric]],Table4[Metric],0)),"")</f>
        <v>Process (Project)</v>
      </c>
      <c r="J4" s="162" t="str">
        <f>IF(Table3[[#This Row],[Metric]]&lt;&gt;"",INDEX(Table4[Metric Classification],MATCH(Table3[[#This Row],[Metric]],Table4[Metric],0)),"")</f>
        <v>Larger the Better</v>
      </c>
      <c r="K4" s="163"/>
      <c r="L4" s="157"/>
      <c r="M4" s="158"/>
      <c r="N4" s="158"/>
      <c r="O4" s="158"/>
      <c r="P4" s="158"/>
      <c r="Q4" s="158"/>
      <c r="R4" s="158"/>
      <c r="S4" s="158"/>
      <c r="T4" s="54" t="b">
        <f>ISERROR(IF(Table3[[#This Row],[Metric]]&lt;&gt;"",INDEX(Table4[UOM],MATCH(Table3[[#This Row],[Metric]],Table4[Metric],0)),""))</f>
        <v>0</v>
      </c>
    </row>
    <row r="5" spans="1:29" s="30" customFormat="1" ht="39.950000000000003" customHeight="1" x14ac:dyDescent="0.25">
      <c r="A5" s="195">
        <v>2</v>
      </c>
      <c r="B5" s="192" t="s">
        <v>149</v>
      </c>
      <c r="C5" s="192" t="s">
        <v>888</v>
      </c>
      <c r="D5" s="192" t="s">
        <v>899</v>
      </c>
      <c r="E5" s="154" t="str">
        <f>IF(Table3[[#This Row],[Metric]]&lt;&gt;"",INDEX(Table4[UOM],MATCH(Table3[[#This Row],[Metric]],Table4[Metric],0)),"")</f>
        <v>%</v>
      </c>
      <c r="F5" s="160" t="str">
        <f>IF(Table3[[#This Row],[Metric]]&lt;&gt;"",INDEX(Table4[Formula],MATCH(Table3[[#This Row],[Metric]],Table4[Metric],0)),"")</f>
        <v>100 - (Rework Effort to fix findings from Review, Screen, Katapult, Testing, Customer / Total Effort x 100)</v>
      </c>
      <c r="G5" s="161">
        <f>IF(Table3[[#This Row],[Metric]]&lt;&gt;"",INDEX(Table4[Example],MATCH(Table3[[#This Row],[Metric]],Table4[Metric],0)),"")</f>
        <v>0</v>
      </c>
      <c r="H5" s="162" t="str">
        <f>IF(Table3[[#This Row],[Metric]]&lt;&gt;"",INDEX(Table4[Application Type],MATCH(Table3[[#This Row],[Metric]],Table4[Metric],0)),"")</f>
        <v>Lag</v>
      </c>
      <c r="I5" s="162" t="str">
        <f>IF(Table3[[#This Row],[Metric]]&lt;&gt;"",INDEX(Table4[Measurable Entity],MATCH(Table3[[#This Row],[Metric]],Table4[Metric],0)),"")</f>
        <v>Process (Project)</v>
      </c>
      <c r="J5" s="162" t="str">
        <f>IF(Table3[[#This Row],[Metric]]&lt;&gt;"",INDEX(Table4[Metric Classification],MATCH(Table3[[#This Row],[Metric]],Table4[Metric],0)),"")</f>
        <v>Larger the Better</v>
      </c>
      <c r="K5" s="163"/>
      <c r="L5" s="157"/>
      <c r="M5" s="158"/>
      <c r="N5" s="158"/>
      <c r="O5" s="158"/>
      <c r="P5" s="158"/>
      <c r="Q5" s="158"/>
      <c r="R5" s="158"/>
      <c r="S5" s="158"/>
      <c r="T5" s="54" t="b">
        <f>ISERROR(IF(Table3[[#This Row],[Metric]]&lt;&gt;"",INDEX(Table4[UOM],MATCH(Table3[[#This Row],[Metric]],Table4[Metric],0)),""))</f>
        <v>0</v>
      </c>
    </row>
    <row r="6" spans="1:29" s="30" customFormat="1" ht="39.950000000000003" customHeight="1" x14ac:dyDescent="0.25">
      <c r="A6" s="195">
        <v>3</v>
      </c>
      <c r="B6" s="192" t="s">
        <v>139</v>
      </c>
      <c r="C6" s="192" t="s">
        <v>140</v>
      </c>
      <c r="D6" s="192" t="s">
        <v>900</v>
      </c>
      <c r="E6" s="164" t="str">
        <f>IF(Table3[[#This Row],[Metric]]&lt;&gt;"",INDEX(Table4[UOM],MATCH(Table3[[#This Row],[Metric]],Table4[Metric],0)),"")</f>
        <v>%</v>
      </c>
      <c r="F6" s="160" t="str">
        <f>IF(Table3[[#This Row],[Metric]]&lt;&gt;"",INDEX(Table4[Formula],MATCH(Table3[[#This Row],[Metric]],Table4[Metric],0)),"")</f>
        <v>(No. of On Time Deliveries/Total no. of deliveries made)*100</v>
      </c>
      <c r="G6" s="161" t="str">
        <f>IF(Table3[[#This Row],[Metric]]&lt;&gt;"",INDEX(Table4[Example],MATCH(Table3[[#This Row],[Metric]],Table4[Metric],0)),"")</f>
        <v>No. of On Time Deliveries = 8
Total No. of Deliveries = 10
On Time Delivery Percentage = (8 / 10) * 100 = 80%</v>
      </c>
      <c r="H6" s="162" t="str">
        <f>IF(Table3[[#This Row],[Metric]]&lt;&gt;"",INDEX(Table4[Application Type],MATCH(Table3[[#This Row],[Metric]],Table4[Metric],0)),"")</f>
        <v>Lag</v>
      </c>
      <c r="I6" s="162" t="str">
        <f>IF(Table3[[#This Row],[Metric]]&lt;&gt;"",INDEX(Table4[Measurable Entity],MATCH(Table3[[#This Row],[Metric]],Table4[Metric],0)),"")</f>
        <v>Process (Project)</v>
      </c>
      <c r="J6" s="162" t="str">
        <f>IF(Table3[[#This Row],[Metric]]&lt;&gt;"",INDEX(Table4[Metric Classification],MATCH(Table3[[#This Row],[Metric]],Table4[Metric],0)),"")</f>
        <v>Larger the Better</v>
      </c>
      <c r="K6" s="163"/>
      <c r="L6" s="157"/>
      <c r="M6" s="158"/>
      <c r="N6" s="158"/>
      <c r="O6" s="158"/>
      <c r="P6" s="158"/>
      <c r="Q6" s="158"/>
      <c r="R6" s="158"/>
      <c r="S6" s="194"/>
      <c r="T6" s="193" t="b">
        <f>ISERROR(IF(Table3[[#This Row],[Metric]]&lt;&gt;"",INDEX(Table4[UOM],MATCH(Table3[[#This Row],[Metric]],Table4[Metric],0)),""))</f>
        <v>0</v>
      </c>
    </row>
    <row r="7" spans="1:29" s="30" customFormat="1" ht="39.950000000000003" customHeight="1" x14ac:dyDescent="0.25">
      <c r="A7" s="197">
        <v>4</v>
      </c>
      <c r="B7" s="153"/>
      <c r="C7" s="153"/>
      <c r="D7" s="153"/>
      <c r="E7" s="164" t="str">
        <f>IF(Table3[[#This Row],[Metric]]&lt;&gt;"",INDEX(Table4[UOM],MATCH(Table3[[#This Row],[Metric]],Table4[Metric],0)),"")</f>
        <v/>
      </c>
      <c r="F7" s="160" t="str">
        <f>IF(Table3[[#This Row],[Metric]]&lt;&gt;"",INDEX(Table4[Formula],MATCH(Table3[[#This Row],[Metric]],Table4[Metric],0)),"")</f>
        <v/>
      </c>
      <c r="G7" s="161" t="str">
        <f>IF(Table3[[#This Row],[Metric]]&lt;&gt;"",INDEX(Table4[Example],MATCH(Table3[[#This Row],[Metric]],Table4[Metric],0)),"")</f>
        <v/>
      </c>
      <c r="H7" s="162" t="str">
        <f>IF(Table3[[#This Row],[Metric]]&lt;&gt;"",INDEX(Table4[Application Type],MATCH(Table3[[#This Row],[Metric]],Table4[Metric],0)),"")</f>
        <v/>
      </c>
      <c r="I7" s="162" t="str">
        <f>IF(Table3[[#This Row],[Metric]]&lt;&gt;"",INDEX(Table4[Measurable Entity],MATCH(Table3[[#This Row],[Metric]],Table4[Metric],0)),"")</f>
        <v/>
      </c>
      <c r="J7" s="162" t="str">
        <f>IF(Table3[[#This Row],[Metric]]&lt;&gt;"",INDEX(Table4[Metric Classification],MATCH(Table3[[#This Row],[Metric]],Table4[Metric],0)),"")</f>
        <v/>
      </c>
      <c r="K7" s="163"/>
      <c r="L7" s="157"/>
      <c r="M7" s="158"/>
      <c r="N7" s="158"/>
      <c r="O7" s="158"/>
      <c r="P7" s="158"/>
      <c r="Q7" s="158"/>
      <c r="R7" s="158"/>
      <c r="S7" s="194"/>
      <c r="T7" s="193" t="b">
        <f>ISERROR(IF(Table3[[#This Row],[Metric]]&lt;&gt;"",INDEX(Table4[UOM],MATCH(Table3[[#This Row],[Metric]],Table4[Metric],0)),""))</f>
        <v>0</v>
      </c>
    </row>
    <row r="8" spans="1:29" s="30" customFormat="1" ht="39.950000000000003" customHeight="1" x14ac:dyDescent="0.25">
      <c r="A8" s="197">
        <v>5</v>
      </c>
      <c r="B8" s="153"/>
      <c r="C8" s="153"/>
      <c r="D8" s="153"/>
      <c r="E8" s="164" t="str">
        <f>IF(Table3[[#This Row],[Metric]]&lt;&gt;"",INDEX(Table4[UOM],MATCH(Table3[[#This Row],[Metric]],Table4[Metric],0)),"")</f>
        <v/>
      </c>
      <c r="F8" s="160" t="str">
        <f>IF(Table3[[#This Row],[Metric]]&lt;&gt;"",INDEX(Table4[Formula],MATCH(Table3[[#This Row],[Metric]],Table4[Metric],0)),"")</f>
        <v/>
      </c>
      <c r="G8" s="161" t="str">
        <f>IF(Table3[[#This Row],[Metric]]&lt;&gt;"",INDEX(Table4[Example],MATCH(Table3[[#This Row],[Metric]],Table4[Metric],0)),"")</f>
        <v/>
      </c>
      <c r="H8" s="162" t="str">
        <f>IF(Table3[[#This Row],[Metric]]&lt;&gt;"",INDEX(Table4[Application Type],MATCH(Table3[[#This Row],[Metric]],Table4[Metric],0)),"")</f>
        <v/>
      </c>
      <c r="I8" s="162" t="str">
        <f>IF(Table3[[#This Row],[Metric]]&lt;&gt;"",INDEX(Table4[Measurable Entity],MATCH(Table3[[#This Row],[Metric]],Table4[Metric],0)),"")</f>
        <v/>
      </c>
      <c r="J8" s="162" t="str">
        <f>IF(Table3[[#This Row],[Metric]]&lt;&gt;"",INDEX(Table4[Metric Classification],MATCH(Table3[[#This Row],[Metric]],Table4[Metric],0)),"")</f>
        <v/>
      </c>
      <c r="K8" s="163"/>
      <c r="L8" s="157"/>
      <c r="M8" s="158"/>
      <c r="N8" s="158"/>
      <c r="O8" s="158"/>
      <c r="P8" s="158"/>
      <c r="Q8" s="158"/>
      <c r="R8" s="158"/>
      <c r="S8" s="194"/>
      <c r="T8" s="193" t="b">
        <f>ISERROR(IF(Table3[[#This Row],[Metric]]&lt;&gt;"",INDEX(Table4[UOM],MATCH(Table3[[#This Row],[Metric]],Table4[Metric],0)),""))</f>
        <v>0</v>
      </c>
    </row>
    <row r="9" spans="1:29" s="30" customFormat="1" ht="39.950000000000003" customHeight="1" x14ac:dyDescent="0.25">
      <c r="A9" s="197">
        <v>6</v>
      </c>
      <c r="B9" s="153"/>
      <c r="C9" s="153"/>
      <c r="D9" s="153"/>
      <c r="E9" s="164" t="str">
        <f>IF(Table3[[#This Row],[Metric]]&lt;&gt;"",INDEX(Table4[UOM],MATCH(Table3[[#This Row],[Metric]],Table4[Metric],0)),"")</f>
        <v/>
      </c>
      <c r="F9" s="160" t="str">
        <f>IF(Table3[[#This Row],[Metric]]&lt;&gt;"",INDEX(Table4[Formula],MATCH(Table3[[#This Row],[Metric]],Table4[Metric],0)),"")</f>
        <v/>
      </c>
      <c r="G9" s="161" t="str">
        <f>IF(Table3[[#This Row],[Metric]]&lt;&gt;"",INDEX(Table4[Example],MATCH(Table3[[#This Row],[Metric]],Table4[Metric],0)),"")</f>
        <v/>
      </c>
      <c r="H9" s="162" t="str">
        <f>IF(Table3[[#This Row],[Metric]]&lt;&gt;"",INDEX(Table4[Application Type],MATCH(Table3[[#This Row],[Metric]],Table4[Metric],0)),"")</f>
        <v/>
      </c>
      <c r="I9" s="162" t="str">
        <f>IF(Table3[[#This Row],[Metric]]&lt;&gt;"",INDEX(Table4[Measurable Entity],MATCH(Table3[[#This Row],[Metric]],Table4[Metric],0)),"")</f>
        <v/>
      </c>
      <c r="J9" s="162" t="str">
        <f>IF(Table3[[#This Row],[Metric]]&lt;&gt;"",INDEX(Table4[Metric Classification],MATCH(Table3[[#This Row],[Metric]],Table4[Metric],0)),"")</f>
        <v/>
      </c>
      <c r="K9" s="163"/>
      <c r="L9" s="157"/>
      <c r="M9" s="158"/>
      <c r="N9" s="158"/>
      <c r="O9" s="158"/>
      <c r="P9" s="158"/>
      <c r="Q9" s="158"/>
      <c r="R9" s="158"/>
      <c r="S9" s="194"/>
      <c r="T9" s="193" t="b">
        <f>ISERROR(IF(Table3[[#This Row],[Metric]]&lt;&gt;"",INDEX(Table4[UOM],MATCH(Table3[[#This Row],[Metric]],Table4[Metric],0)),""))</f>
        <v>0</v>
      </c>
    </row>
    <row r="10" spans="1:29" s="30" customFormat="1" ht="39.950000000000003" customHeight="1" x14ac:dyDescent="0.25">
      <c r="A10" s="197">
        <v>7</v>
      </c>
      <c r="B10" s="153"/>
      <c r="C10" s="153"/>
      <c r="D10" s="153"/>
      <c r="E10" s="164" t="str">
        <f>IF(Table3[[#This Row],[Metric]]&lt;&gt;"",INDEX(Table4[UOM],MATCH(Table3[[#This Row],[Metric]],Table4[Metric],0)),"")</f>
        <v/>
      </c>
      <c r="F10" s="160" t="str">
        <f>IF(Table3[[#This Row],[Metric]]&lt;&gt;"",INDEX(Table4[Formula],MATCH(Table3[[#This Row],[Metric]],Table4[Metric],0)),"")</f>
        <v/>
      </c>
      <c r="G10" s="161" t="str">
        <f>IF(Table3[[#This Row],[Metric]]&lt;&gt;"",INDEX(Table4[Example],MATCH(Table3[[#This Row],[Metric]],Table4[Metric],0)),"")</f>
        <v/>
      </c>
      <c r="H10" s="162" t="str">
        <f>IF(Table3[[#This Row],[Metric]]&lt;&gt;"",INDEX(Table4[Application Type],MATCH(Table3[[#This Row],[Metric]],Table4[Metric],0)),"")</f>
        <v/>
      </c>
      <c r="I10" s="162" t="str">
        <f>IF(Table3[[#This Row],[Metric]]&lt;&gt;"",INDEX(Table4[Measurable Entity],MATCH(Table3[[#This Row],[Metric]],Table4[Metric],0)),"")</f>
        <v/>
      </c>
      <c r="J10" s="162" t="str">
        <f>IF(Table3[[#This Row],[Metric]]&lt;&gt;"",INDEX(Table4[Metric Classification],MATCH(Table3[[#This Row],[Metric]],Table4[Metric],0)),"")</f>
        <v/>
      </c>
      <c r="K10" s="163"/>
      <c r="L10" s="157"/>
      <c r="M10" s="158"/>
      <c r="N10" s="158"/>
      <c r="O10" s="158"/>
      <c r="P10" s="158"/>
      <c r="Q10" s="158"/>
      <c r="R10" s="158"/>
      <c r="S10" s="194"/>
      <c r="T10" s="193" t="b">
        <f>ISERROR(IF(Table3[[#This Row],[Metric]]&lt;&gt;"",INDEX(Table4[UOM],MATCH(Table3[[#This Row],[Metric]],Table4[Metric],0)),""))</f>
        <v>0</v>
      </c>
    </row>
    <row r="11" spans="1:29" s="30" customFormat="1" ht="39.950000000000003" customHeight="1" x14ac:dyDescent="0.25">
      <c r="A11" s="197">
        <v>8</v>
      </c>
      <c r="B11" s="153"/>
      <c r="C11" s="153"/>
      <c r="D11" s="153"/>
      <c r="E11" s="164" t="str">
        <f>IF(Table3[[#This Row],[Metric]]&lt;&gt;"",INDEX(Table4[UOM],MATCH(Table3[[#This Row],[Metric]],Table4[Metric],0)),"")</f>
        <v/>
      </c>
      <c r="F11" s="160" t="str">
        <f>IF(Table3[[#This Row],[Metric]]&lt;&gt;"",INDEX(Table4[Formula],MATCH(Table3[[#This Row],[Metric]],Table4[Metric],0)),"")</f>
        <v/>
      </c>
      <c r="G11" s="161" t="str">
        <f>IF(Table3[[#This Row],[Metric]]&lt;&gt;"",INDEX(Table4[Example],MATCH(Table3[[#This Row],[Metric]],Table4[Metric],0)),"")</f>
        <v/>
      </c>
      <c r="H11" s="162" t="str">
        <f>IF(Table3[[#This Row],[Metric]]&lt;&gt;"",INDEX(Table4[Application Type],MATCH(Table3[[#This Row],[Metric]],Table4[Metric],0)),"")</f>
        <v/>
      </c>
      <c r="I11" s="162" t="str">
        <f>IF(Table3[[#This Row],[Metric]]&lt;&gt;"",INDEX(Table4[Measurable Entity],MATCH(Table3[[#This Row],[Metric]],Table4[Metric],0)),"")</f>
        <v/>
      </c>
      <c r="J11" s="162" t="str">
        <f>IF(Table3[[#This Row],[Metric]]&lt;&gt;"",INDEX(Table4[Metric Classification],MATCH(Table3[[#This Row],[Metric]],Table4[Metric],0)),"")</f>
        <v/>
      </c>
      <c r="K11" s="163"/>
      <c r="L11" s="157"/>
      <c r="M11" s="158"/>
      <c r="N11" s="158"/>
      <c r="O11" s="158"/>
      <c r="P11" s="158"/>
      <c r="Q11" s="158"/>
      <c r="R11" s="158"/>
      <c r="S11" s="194"/>
      <c r="T11" s="193" t="b">
        <f>ISERROR(IF(Table3[[#This Row],[Metric]]&lt;&gt;"",INDEX(Table4[UOM],MATCH(Table3[[#This Row],[Metric]],Table4[Metric],0)),""))</f>
        <v>0</v>
      </c>
    </row>
    <row r="12" spans="1:29" s="30" customFormat="1" ht="39.950000000000003" customHeight="1" x14ac:dyDescent="0.25">
      <c r="A12" s="197">
        <v>9</v>
      </c>
      <c r="B12" s="153"/>
      <c r="C12" s="153"/>
      <c r="D12" s="153"/>
      <c r="E12" s="164" t="str">
        <f>IF(Table3[[#This Row],[Metric]]&lt;&gt;"",INDEX(Table4[UOM],MATCH(Table3[[#This Row],[Metric]],Table4[Metric],0)),"")</f>
        <v/>
      </c>
      <c r="F12" s="160" t="str">
        <f>IF(Table3[[#This Row],[Metric]]&lt;&gt;"",INDEX(Table4[Formula],MATCH(Table3[[#This Row],[Metric]],Table4[Metric],0)),"")</f>
        <v/>
      </c>
      <c r="G12" s="161" t="str">
        <f>IF(Table3[[#This Row],[Metric]]&lt;&gt;"",INDEX(Table4[Example],MATCH(Table3[[#This Row],[Metric]],Table4[Metric],0)),"")</f>
        <v/>
      </c>
      <c r="H12" s="162" t="str">
        <f>IF(Table3[[#This Row],[Metric]]&lt;&gt;"",INDEX(Table4[Application Type],MATCH(Table3[[#This Row],[Metric]],Table4[Metric],0)),"")</f>
        <v/>
      </c>
      <c r="I12" s="162" t="str">
        <f>IF(Table3[[#This Row],[Metric]]&lt;&gt;"",INDEX(Table4[Measurable Entity],MATCH(Table3[[#This Row],[Metric]],Table4[Metric],0)),"")</f>
        <v/>
      </c>
      <c r="J12" s="162" t="str">
        <f>IF(Table3[[#This Row],[Metric]]&lt;&gt;"",INDEX(Table4[Metric Classification],MATCH(Table3[[#This Row],[Metric]],Table4[Metric],0)),"")</f>
        <v/>
      </c>
      <c r="K12" s="163"/>
      <c r="L12" s="157"/>
      <c r="M12" s="158"/>
      <c r="N12" s="158"/>
      <c r="O12" s="158"/>
      <c r="P12" s="158"/>
      <c r="Q12" s="158"/>
      <c r="R12" s="158"/>
      <c r="S12" s="194"/>
      <c r="T12" s="193" t="b">
        <f>ISERROR(IF(Table3[[#This Row],[Metric]]&lt;&gt;"",INDEX(Table4[UOM],MATCH(Table3[[#This Row],[Metric]],Table4[Metric],0)),""))</f>
        <v>0</v>
      </c>
    </row>
    <row r="13" spans="1:29" s="30" customFormat="1" ht="39.950000000000003" customHeight="1" x14ac:dyDescent="0.25">
      <c r="A13" s="197">
        <v>10</v>
      </c>
      <c r="B13" s="153"/>
      <c r="C13" s="153"/>
      <c r="D13" s="153"/>
      <c r="E13" s="164" t="str">
        <f>IF(Table3[[#This Row],[Metric]]&lt;&gt;"",INDEX(Table4[UOM],MATCH(Table3[[#This Row],[Metric]],Table4[Metric],0)),"")</f>
        <v/>
      </c>
      <c r="F13" s="160" t="str">
        <f>IF(Table3[[#This Row],[Metric]]&lt;&gt;"",INDEX(Table4[Formula],MATCH(Table3[[#This Row],[Metric]],Table4[Metric],0)),"")</f>
        <v/>
      </c>
      <c r="G13" s="161" t="str">
        <f>IF(Table3[[#This Row],[Metric]]&lt;&gt;"",INDEX(Table4[Example],MATCH(Table3[[#This Row],[Metric]],Table4[Metric],0)),"")</f>
        <v/>
      </c>
      <c r="H13" s="162" t="str">
        <f>IF(Table3[[#This Row],[Metric]]&lt;&gt;"",INDEX(Table4[Application Type],MATCH(Table3[[#This Row],[Metric]],Table4[Metric],0)),"")</f>
        <v/>
      </c>
      <c r="I13" s="162" t="str">
        <f>IF(Table3[[#This Row],[Metric]]&lt;&gt;"",INDEX(Table4[Measurable Entity],MATCH(Table3[[#This Row],[Metric]],Table4[Metric],0)),"")</f>
        <v/>
      </c>
      <c r="J13" s="162" t="str">
        <f>IF(Table3[[#This Row],[Metric]]&lt;&gt;"",INDEX(Table4[Metric Classification],MATCH(Table3[[#This Row],[Metric]],Table4[Metric],0)),"")</f>
        <v/>
      </c>
      <c r="K13" s="163"/>
      <c r="L13" s="157"/>
      <c r="M13" s="158"/>
      <c r="N13" s="158"/>
      <c r="O13" s="158"/>
      <c r="P13" s="158"/>
      <c r="Q13" s="158"/>
      <c r="R13" s="158"/>
      <c r="S13" s="194"/>
      <c r="T13" s="193" t="b">
        <f>ISERROR(IF(Table3[[#This Row],[Metric]]&lt;&gt;"",INDEX(Table4[UOM],MATCH(Table3[[#This Row],[Metric]],Table4[Metric],0)),""))</f>
        <v>0</v>
      </c>
    </row>
    <row r="14" spans="1:29" s="30" customFormat="1" ht="39.950000000000003" customHeight="1" x14ac:dyDescent="0.25">
      <c r="A14" s="197">
        <v>11</v>
      </c>
      <c r="B14" s="153"/>
      <c r="C14" s="153"/>
      <c r="D14" s="153"/>
      <c r="E14" s="154" t="str">
        <f>IF(Table3[[#This Row],[Metric]]&lt;&gt;"",INDEX(Table4[UOM],MATCH(Table3[[#This Row],[Metric]],Table4[Metric],0)),"")</f>
        <v/>
      </c>
      <c r="F14" s="160" t="str">
        <f>IF(Table3[[#This Row],[Metric]]&lt;&gt;"",INDEX(Table4[Formula],MATCH(Table3[[#This Row],[Metric]],Table4[Metric],0)),"")</f>
        <v/>
      </c>
      <c r="G14" s="161" t="str">
        <f>IF(Table3[[#This Row],[Metric]]&lt;&gt;"",INDEX(Table4[Example],MATCH(Table3[[#This Row],[Metric]],Table4[Metric],0)),"")</f>
        <v/>
      </c>
      <c r="H14" s="162" t="str">
        <f>IF(Table3[[#This Row],[Metric]]&lt;&gt;"",INDEX(Table4[Application Type],MATCH(Table3[[#This Row],[Metric]],Table4[Metric],0)),"")</f>
        <v/>
      </c>
      <c r="I14" s="162" t="str">
        <f>IF(Table3[[#This Row],[Metric]]&lt;&gt;"",INDEX(Table4[Measurable Entity],MATCH(Table3[[#This Row],[Metric]],Table4[Metric],0)),"")</f>
        <v/>
      </c>
      <c r="J14" s="162" t="str">
        <f>IF(Table3[[#This Row],[Metric]]&lt;&gt;"",INDEX(Table4[Metric Classification],MATCH(Table3[[#This Row],[Metric]],Table4[Metric],0)),"")</f>
        <v/>
      </c>
      <c r="K14" s="163"/>
      <c r="L14" s="157"/>
      <c r="M14" s="158"/>
      <c r="N14" s="158"/>
      <c r="O14" s="158"/>
      <c r="P14" s="158"/>
      <c r="Q14" s="158"/>
      <c r="R14" s="158"/>
      <c r="S14" s="158"/>
      <c r="T14" s="54" t="b">
        <f>ISERROR(IF(Table3[[#This Row],[Metric]]&lt;&gt;"",INDEX(Table4[UOM],MATCH(Table3[[#This Row],[Metric]],Table4[Metric],0)),""))</f>
        <v>0</v>
      </c>
    </row>
    <row r="15" spans="1:29" s="30" customFormat="1" ht="39.950000000000003" customHeight="1" x14ac:dyDescent="0.25">
      <c r="A15" s="197">
        <v>12</v>
      </c>
      <c r="B15" s="153"/>
      <c r="C15" s="153"/>
      <c r="D15" s="153"/>
      <c r="E15" s="154" t="str">
        <f>IF(Table3[[#This Row],[Metric]]&lt;&gt;"",INDEX(Table4[UOM],MATCH(Table3[[#This Row],[Metric]],Table4[Metric],0)),"")</f>
        <v/>
      </c>
      <c r="F15" s="160" t="str">
        <f>IF(Table3[[#This Row],[Metric]]&lt;&gt;"",INDEX(Table4[Formula],MATCH(Table3[[#This Row],[Metric]],Table4[Metric],0)),"")</f>
        <v/>
      </c>
      <c r="G15" s="161" t="str">
        <f>IF(Table3[[#This Row],[Metric]]&lt;&gt;"",INDEX(Table4[Example],MATCH(Table3[[#This Row],[Metric]],Table4[Metric],0)),"")</f>
        <v/>
      </c>
      <c r="H15" s="162" t="str">
        <f>IF(Table3[[#This Row],[Metric]]&lt;&gt;"",INDEX(Table4[Application Type],MATCH(Table3[[#This Row],[Metric]],Table4[Metric],0)),"")</f>
        <v/>
      </c>
      <c r="I15" s="162" t="str">
        <f>IF(Table3[[#This Row],[Metric]]&lt;&gt;"",INDEX(Table4[Measurable Entity],MATCH(Table3[[#This Row],[Metric]],Table4[Metric],0)),"")</f>
        <v/>
      </c>
      <c r="J15" s="162" t="str">
        <f>IF(Table3[[#This Row],[Metric]]&lt;&gt;"",INDEX(Table4[Metric Classification],MATCH(Table3[[#This Row],[Metric]],Table4[Metric],0)),"")</f>
        <v/>
      </c>
      <c r="K15" s="163"/>
      <c r="L15" s="157"/>
      <c r="M15" s="158"/>
      <c r="N15" s="158"/>
      <c r="O15" s="158"/>
      <c r="P15" s="158"/>
      <c r="Q15" s="158"/>
      <c r="R15" s="158"/>
      <c r="S15" s="158"/>
      <c r="T15" s="54" t="b">
        <f>ISERROR(IF(Table3[[#This Row],[Metric]]&lt;&gt;"",INDEX(Table4[UOM],MATCH(Table3[[#This Row],[Metric]],Table4[Metric],0)),""))</f>
        <v>0</v>
      </c>
    </row>
    <row r="16" spans="1:29" s="30" customFormat="1" ht="39.950000000000003" customHeight="1" x14ac:dyDescent="0.25">
      <c r="A16" s="197">
        <v>13</v>
      </c>
      <c r="B16" s="153"/>
      <c r="C16" s="153"/>
      <c r="D16" s="153"/>
      <c r="E16" s="154" t="str">
        <f>IF(Table3[[#This Row],[Metric]]&lt;&gt;"",INDEX(Table4[UOM],MATCH(Table3[[#This Row],[Metric]],Table4[Metric],0)),"")</f>
        <v/>
      </c>
      <c r="F16" s="160" t="str">
        <f>IF(Table3[[#This Row],[Metric]]&lt;&gt;"",INDEX(Table4[Formula],MATCH(Table3[[#This Row],[Metric]],Table4[Metric],0)),"")</f>
        <v/>
      </c>
      <c r="G16" s="161" t="str">
        <f>IF(Table3[[#This Row],[Metric]]&lt;&gt;"",INDEX(Table4[Example],MATCH(Table3[[#This Row],[Metric]],Table4[Metric],0)),"")</f>
        <v/>
      </c>
      <c r="H16" s="162" t="str">
        <f>IF(Table3[[#This Row],[Metric]]&lt;&gt;"",INDEX(Table4[Application Type],MATCH(Table3[[#This Row],[Metric]],Table4[Metric],0)),"")</f>
        <v/>
      </c>
      <c r="I16" s="162" t="str">
        <f>IF(Table3[[#This Row],[Metric]]&lt;&gt;"",INDEX(Table4[Measurable Entity],MATCH(Table3[[#This Row],[Metric]],Table4[Metric],0)),"")</f>
        <v/>
      </c>
      <c r="J16" s="162" t="str">
        <f>IF(Table3[[#This Row],[Metric]]&lt;&gt;"",INDEX(Table4[Metric Classification],MATCH(Table3[[#This Row],[Metric]],Table4[Metric],0)),"")</f>
        <v/>
      </c>
      <c r="K16" s="163"/>
      <c r="L16" s="157"/>
      <c r="M16" s="158"/>
      <c r="N16" s="158"/>
      <c r="O16" s="158"/>
      <c r="P16" s="158"/>
      <c r="Q16" s="158"/>
      <c r="R16" s="158"/>
      <c r="S16" s="158"/>
      <c r="T16" s="54" t="b">
        <f>ISERROR(IF(Table3[[#This Row],[Metric]]&lt;&gt;"",INDEX(Table4[UOM],MATCH(Table3[[#This Row],[Metric]],Table4[Metric],0)),""))</f>
        <v>0</v>
      </c>
    </row>
    <row r="17" spans="1:20" ht="39.950000000000003" customHeight="1" x14ac:dyDescent="0.25">
      <c r="A17" s="197">
        <v>14</v>
      </c>
      <c r="B17" s="153"/>
      <c r="C17" s="153"/>
      <c r="D17" s="153"/>
      <c r="E17" s="154" t="str">
        <f>IF(Table3[[#This Row],[Metric]]&lt;&gt;"",INDEX(Table4[UOM],MATCH(Table3[[#This Row],[Metric]],Table4[Metric],0)),"")</f>
        <v/>
      </c>
      <c r="F17" s="160" t="str">
        <f>IF(Table3[[#This Row],[Metric]]&lt;&gt;"",INDEX(Table4[Formula],MATCH(Table3[[#This Row],[Metric]],Table4[Metric],0)),"")</f>
        <v/>
      </c>
      <c r="G17" s="161" t="str">
        <f>IF(Table3[[#This Row],[Metric]]&lt;&gt;"",INDEX(Table4[Example],MATCH(Table3[[#This Row],[Metric]],Table4[Metric],0)),"")</f>
        <v/>
      </c>
      <c r="H17" s="162" t="str">
        <f>IF(Table3[[#This Row],[Metric]]&lt;&gt;"",INDEX(Table4[Application Type],MATCH(Table3[[#This Row],[Metric]],Table4[Metric],0)),"")</f>
        <v/>
      </c>
      <c r="I17" s="162" t="str">
        <f>IF(Table3[[#This Row],[Metric]]&lt;&gt;"",INDEX(Table4[Measurable Entity],MATCH(Table3[[#This Row],[Metric]],Table4[Metric],0)),"")</f>
        <v/>
      </c>
      <c r="J17" s="162" t="str">
        <f>IF(Table3[[#This Row],[Metric]]&lt;&gt;"",INDEX(Table4[Metric Classification],MATCH(Table3[[#This Row],[Metric]],Table4[Metric],0)),"")</f>
        <v/>
      </c>
      <c r="K17" s="163"/>
      <c r="L17" s="157"/>
      <c r="M17" s="158"/>
      <c r="N17" s="158"/>
      <c r="O17" s="158"/>
      <c r="P17" s="158"/>
      <c r="Q17" s="158"/>
      <c r="R17" s="158"/>
      <c r="S17" s="158"/>
      <c r="T17" s="54" t="b">
        <f>ISERROR(IF(Table3[[#This Row],[Metric]]&lt;&gt;"",INDEX(Table4[UOM],MATCH(Table3[[#This Row],[Metric]],Table4[Metric],0)),""))</f>
        <v>0</v>
      </c>
    </row>
    <row r="18" spans="1:20" ht="39.950000000000003" customHeight="1" x14ac:dyDescent="0.25">
      <c r="A18" s="197">
        <v>15</v>
      </c>
      <c r="B18" s="153"/>
      <c r="C18" s="153"/>
      <c r="D18" s="153"/>
      <c r="E18" s="154" t="str">
        <f>IF(Table3[[#This Row],[Metric]]&lt;&gt;"",INDEX(Table4[UOM],MATCH(Table3[[#This Row],[Metric]],Table4[Metric],0)),"")</f>
        <v/>
      </c>
      <c r="F18" s="160" t="str">
        <f>IF(Table3[[#This Row],[Metric]]&lt;&gt;"",INDEX(Table4[Formula],MATCH(Table3[[#This Row],[Metric]],Table4[Metric],0)),"")</f>
        <v/>
      </c>
      <c r="G18" s="161" t="str">
        <f>IF(Table3[[#This Row],[Metric]]&lt;&gt;"",INDEX(Table4[Example],MATCH(Table3[[#This Row],[Metric]],Table4[Metric],0)),"")</f>
        <v/>
      </c>
      <c r="H18" s="162" t="str">
        <f>IF(Table3[[#This Row],[Metric]]&lt;&gt;"",INDEX(Table4[Application Type],MATCH(Table3[[#This Row],[Metric]],Table4[Metric],0)),"")</f>
        <v/>
      </c>
      <c r="I18" s="162" t="str">
        <f>IF(Table3[[#This Row],[Metric]]&lt;&gt;"",INDEX(Table4[Measurable Entity],MATCH(Table3[[#This Row],[Metric]],Table4[Metric],0)),"")</f>
        <v/>
      </c>
      <c r="J18" s="162" t="str">
        <f>IF(Table3[[#This Row],[Metric]]&lt;&gt;"",INDEX(Table4[Metric Classification],MATCH(Table3[[#This Row],[Metric]],Table4[Metric],0)),"")</f>
        <v/>
      </c>
      <c r="K18" s="163"/>
      <c r="L18" s="157"/>
      <c r="M18" s="158"/>
      <c r="N18" s="158"/>
      <c r="O18" s="158"/>
      <c r="P18" s="158"/>
      <c r="Q18" s="158"/>
      <c r="R18" s="158"/>
      <c r="S18" s="158"/>
      <c r="T18" s="54" t="b">
        <f>ISERROR(IF(Table3[[#This Row],[Metric]]&lt;&gt;"",INDEX(Table4[UOM],MATCH(Table3[[#This Row],[Metric]],Table4[Metric],0)),""))</f>
        <v>0</v>
      </c>
    </row>
    <row r="19" spans="1:20" ht="39.950000000000003" customHeight="1" x14ac:dyDescent="0.25">
      <c r="A19" s="197">
        <v>16</v>
      </c>
      <c r="B19" s="153"/>
      <c r="C19" s="153"/>
      <c r="D19" s="153"/>
      <c r="E19" s="154" t="str">
        <f>IF(Table3[[#This Row],[Metric]]&lt;&gt;"",INDEX(Table4[UOM],MATCH(Table3[[#This Row],[Metric]],Table4[Metric],0)),"")</f>
        <v/>
      </c>
      <c r="F19" s="160" t="str">
        <f>IF(Table3[[#This Row],[Metric]]&lt;&gt;"",INDEX(Table4[Formula],MATCH(Table3[[#This Row],[Metric]],Table4[Metric],0)),"")</f>
        <v/>
      </c>
      <c r="G19" s="161" t="str">
        <f>IF(Table3[[#This Row],[Metric]]&lt;&gt;"",INDEX(Table4[Example],MATCH(Table3[[#This Row],[Metric]],Table4[Metric],0)),"")</f>
        <v/>
      </c>
      <c r="H19" s="162" t="str">
        <f>IF(Table3[[#This Row],[Metric]]&lt;&gt;"",INDEX(Table4[Application Type],MATCH(Table3[[#This Row],[Metric]],Table4[Metric],0)),"")</f>
        <v/>
      </c>
      <c r="I19" s="162" t="str">
        <f>IF(Table3[[#This Row],[Metric]]&lt;&gt;"",INDEX(Table4[Measurable Entity],MATCH(Table3[[#This Row],[Metric]],Table4[Metric],0)),"")</f>
        <v/>
      </c>
      <c r="J19" s="162" t="str">
        <f>IF(Table3[[#This Row],[Metric]]&lt;&gt;"",INDEX(Table4[Metric Classification],MATCH(Table3[[#This Row],[Metric]],Table4[Metric],0)),"")</f>
        <v/>
      </c>
      <c r="K19" s="163"/>
      <c r="L19" s="157"/>
      <c r="M19" s="158"/>
      <c r="N19" s="158"/>
      <c r="O19" s="158"/>
      <c r="P19" s="158"/>
      <c r="Q19" s="158"/>
      <c r="R19" s="158"/>
      <c r="S19" s="158"/>
      <c r="T19" s="54" t="b">
        <f>ISERROR(IF(Table3[[#This Row],[Metric]]&lt;&gt;"",INDEX(Table4[UOM],MATCH(Table3[[#This Row],[Metric]],Table4[Metric],0)),""))</f>
        <v>0</v>
      </c>
    </row>
    <row r="20" spans="1:20" ht="39.950000000000003" customHeight="1" x14ac:dyDescent="0.25">
      <c r="A20" s="197">
        <v>17</v>
      </c>
      <c r="B20" s="153"/>
      <c r="C20" s="153"/>
      <c r="D20" s="153"/>
      <c r="E20" s="154" t="str">
        <f>IF(Table3[[#This Row],[Metric]]&lt;&gt;"",INDEX(Table4[UOM],MATCH(Table3[[#This Row],[Metric]],Table4[Metric],0)),"")</f>
        <v/>
      </c>
      <c r="F20" s="160" t="str">
        <f>IF(Table3[[#This Row],[Metric]]&lt;&gt;"",INDEX(Table4[Formula],MATCH(Table3[[#This Row],[Metric]],Table4[Metric],0)),"")</f>
        <v/>
      </c>
      <c r="G20" s="161" t="str">
        <f>IF(Table3[[#This Row],[Metric]]&lt;&gt;"",INDEX(Table4[Example],MATCH(Table3[[#This Row],[Metric]],Table4[Metric],0)),"")</f>
        <v/>
      </c>
      <c r="H20" s="162" t="str">
        <f>IF(Table3[[#This Row],[Metric]]&lt;&gt;"",INDEX(Table4[Application Type],MATCH(Table3[[#This Row],[Metric]],Table4[Metric],0)),"")</f>
        <v/>
      </c>
      <c r="I20" s="162" t="str">
        <f>IF(Table3[[#This Row],[Metric]]&lt;&gt;"",INDEX(Table4[Measurable Entity],MATCH(Table3[[#This Row],[Metric]],Table4[Metric],0)),"")</f>
        <v/>
      </c>
      <c r="J20" s="162" t="str">
        <f>IF(Table3[[#This Row],[Metric]]&lt;&gt;"",INDEX(Table4[Metric Classification],MATCH(Table3[[#This Row],[Metric]],Table4[Metric],0)),"")</f>
        <v/>
      </c>
      <c r="K20" s="163"/>
      <c r="L20" s="157"/>
      <c r="M20" s="158"/>
      <c r="N20" s="158"/>
      <c r="O20" s="158"/>
      <c r="P20" s="158"/>
      <c r="Q20" s="158"/>
      <c r="R20" s="158"/>
      <c r="S20" s="158"/>
      <c r="T20" s="54" t="b">
        <f>ISERROR(IF(Table3[[#This Row],[Metric]]&lt;&gt;"",INDEX(Table4[UOM],MATCH(Table3[[#This Row],[Metric]],Table4[Metric],0)),""))</f>
        <v>0</v>
      </c>
    </row>
    <row r="21" spans="1:20" ht="39.950000000000003" customHeight="1" x14ac:dyDescent="0.25">
      <c r="A21" s="197">
        <v>18</v>
      </c>
      <c r="B21" s="153"/>
      <c r="C21" s="153"/>
      <c r="D21" s="153"/>
      <c r="E21" s="154" t="str">
        <f>IF(Table3[[#This Row],[Metric]]&lt;&gt;"",INDEX(Table4[UOM],MATCH(Table3[[#This Row],[Metric]],Table4[Metric],0)),"")</f>
        <v/>
      </c>
      <c r="F21" s="160" t="str">
        <f>IF(Table3[[#This Row],[Metric]]&lt;&gt;"",INDEX(Table4[Formula],MATCH(Table3[[#This Row],[Metric]],Table4[Metric],0)),"")</f>
        <v/>
      </c>
      <c r="G21" s="161" t="str">
        <f>IF(Table3[[#This Row],[Metric]]&lt;&gt;"",INDEX(Table4[Example],MATCH(Table3[[#This Row],[Metric]],Table4[Metric],0)),"")</f>
        <v/>
      </c>
      <c r="H21" s="162" t="str">
        <f>IF(Table3[[#This Row],[Metric]]&lt;&gt;"",INDEX(Table4[Application Type],MATCH(Table3[[#This Row],[Metric]],Table4[Metric],0)),"")</f>
        <v/>
      </c>
      <c r="I21" s="162" t="str">
        <f>IF(Table3[[#This Row],[Metric]]&lt;&gt;"",INDEX(Table4[Measurable Entity],MATCH(Table3[[#This Row],[Metric]],Table4[Metric],0)),"")</f>
        <v/>
      </c>
      <c r="J21" s="162" t="str">
        <f>IF(Table3[[#This Row],[Metric]]&lt;&gt;"",INDEX(Table4[Metric Classification],MATCH(Table3[[#This Row],[Metric]],Table4[Metric],0)),"")</f>
        <v/>
      </c>
      <c r="K21" s="163"/>
      <c r="L21" s="157"/>
      <c r="M21" s="158"/>
      <c r="N21" s="158"/>
      <c r="O21" s="158"/>
      <c r="P21" s="158"/>
      <c r="Q21" s="158"/>
      <c r="R21" s="158"/>
      <c r="S21" s="158"/>
      <c r="T21" s="54" t="b">
        <f>ISERROR(IF(Table3[[#This Row],[Metric]]&lt;&gt;"",INDEX(Table4[UOM],MATCH(Table3[[#This Row],[Metric]],Table4[Metric],0)),""))</f>
        <v>0</v>
      </c>
    </row>
    <row r="22" spans="1:20" ht="39.950000000000003" customHeight="1" x14ac:dyDescent="0.25">
      <c r="A22" s="197">
        <v>19</v>
      </c>
      <c r="B22" s="153"/>
      <c r="C22" s="153"/>
      <c r="D22" s="153"/>
      <c r="E22" s="154" t="str">
        <f>IF(Table3[[#This Row],[Metric]]&lt;&gt;"",INDEX(Table4[UOM],MATCH(Table3[[#This Row],[Metric]],Table4[Metric],0)),"")</f>
        <v/>
      </c>
      <c r="F22" s="160" t="str">
        <f>IF(Table3[[#This Row],[Metric]]&lt;&gt;"",INDEX(Table4[Formula],MATCH(Table3[[#This Row],[Metric]],Table4[Metric],0)),"")</f>
        <v/>
      </c>
      <c r="G22" s="161" t="str">
        <f>IF(Table3[[#This Row],[Metric]]&lt;&gt;"",INDEX(Table4[Example],MATCH(Table3[[#This Row],[Metric]],Table4[Metric],0)),"")</f>
        <v/>
      </c>
      <c r="H22" s="162" t="str">
        <f>IF(Table3[[#This Row],[Metric]]&lt;&gt;"",INDEX(Table4[Application Type],MATCH(Table3[[#This Row],[Metric]],Table4[Metric],0)),"")</f>
        <v/>
      </c>
      <c r="I22" s="162" t="str">
        <f>IF(Table3[[#This Row],[Metric]]&lt;&gt;"",INDEX(Table4[Measurable Entity],MATCH(Table3[[#This Row],[Metric]],Table4[Metric],0)),"")</f>
        <v/>
      </c>
      <c r="J22" s="162" t="str">
        <f>IF(Table3[[#This Row],[Metric]]&lt;&gt;"",INDEX(Table4[Metric Classification],MATCH(Table3[[#This Row],[Metric]],Table4[Metric],0)),"")</f>
        <v/>
      </c>
      <c r="K22" s="163"/>
      <c r="L22" s="157"/>
      <c r="M22" s="158"/>
      <c r="N22" s="158"/>
      <c r="O22" s="158"/>
      <c r="P22" s="158"/>
      <c r="Q22" s="158"/>
      <c r="R22" s="158"/>
      <c r="S22" s="158"/>
      <c r="T22" s="54" t="b">
        <f>ISERROR(IF(Table3[[#This Row],[Metric]]&lt;&gt;"",INDEX(Table4[UOM],MATCH(Table3[[#This Row],[Metric]],Table4[Metric],0)),""))</f>
        <v>0</v>
      </c>
    </row>
    <row r="23" spans="1:20" ht="39.950000000000003" customHeight="1" x14ac:dyDescent="0.25">
      <c r="A23" s="197">
        <v>20</v>
      </c>
      <c r="B23" s="153"/>
      <c r="C23" s="153"/>
      <c r="D23" s="153"/>
      <c r="E23" s="154" t="str">
        <f>IF(Table3[[#This Row],[Metric]]&lt;&gt;"",INDEX(Table4[UOM],MATCH(Table3[[#This Row],[Metric]],Table4[Metric],0)),"")</f>
        <v/>
      </c>
      <c r="F23" s="160" t="str">
        <f>IF(Table3[[#This Row],[Metric]]&lt;&gt;"",INDEX(Table4[Formula],MATCH(Table3[[#This Row],[Metric]],Table4[Metric],0)),"")</f>
        <v/>
      </c>
      <c r="G23" s="161" t="str">
        <f>IF(Table3[[#This Row],[Metric]]&lt;&gt;"",INDEX(Table4[Example],MATCH(Table3[[#This Row],[Metric]],Table4[Metric],0)),"")</f>
        <v/>
      </c>
      <c r="H23" s="162" t="str">
        <f>IF(Table3[[#This Row],[Metric]]&lt;&gt;"",INDEX(Table4[Application Type],MATCH(Table3[[#This Row],[Metric]],Table4[Metric],0)),"")</f>
        <v/>
      </c>
      <c r="I23" s="162" t="str">
        <f>IF(Table3[[#This Row],[Metric]]&lt;&gt;"",INDEX(Table4[Measurable Entity],MATCH(Table3[[#This Row],[Metric]],Table4[Metric],0)),"")</f>
        <v/>
      </c>
      <c r="J23" s="162" t="str">
        <f>IF(Table3[[#This Row],[Metric]]&lt;&gt;"",INDEX(Table4[Metric Classification],MATCH(Table3[[#This Row],[Metric]],Table4[Metric],0)),"")</f>
        <v/>
      </c>
      <c r="K23" s="163"/>
      <c r="L23" s="157"/>
      <c r="M23" s="158"/>
      <c r="N23" s="158"/>
      <c r="O23" s="158"/>
      <c r="P23" s="158"/>
      <c r="Q23" s="158"/>
      <c r="R23" s="158"/>
      <c r="S23" s="158"/>
      <c r="T23" s="54" t="b">
        <f>ISERROR(IF(Table3[[#This Row],[Metric]]&lt;&gt;"",INDEX(Table4[UOM],MATCH(Table3[[#This Row],[Metric]],Table4[Metric],0)),""))</f>
        <v>0</v>
      </c>
    </row>
    <row r="24" spans="1:20" ht="39.950000000000003" customHeight="1" x14ac:dyDescent="0.25">
      <c r="A24" s="197">
        <v>21</v>
      </c>
      <c r="B24" s="153"/>
      <c r="C24" s="153"/>
      <c r="D24" s="153"/>
      <c r="E24" s="154" t="str">
        <f>IF(Table3[[#This Row],[Metric]]&lt;&gt;"",INDEX(Table4[UOM],MATCH(Table3[[#This Row],[Metric]],Table4[Metric],0)),"")</f>
        <v/>
      </c>
      <c r="F24" s="160" t="str">
        <f>IF(Table3[[#This Row],[Metric]]&lt;&gt;"",INDEX(Table4[Formula],MATCH(Table3[[#This Row],[Metric]],Table4[Metric],0)),"")</f>
        <v/>
      </c>
      <c r="G24" s="161" t="str">
        <f>IF(Table3[[#This Row],[Metric]]&lt;&gt;"",INDEX(Table4[Example],MATCH(Table3[[#This Row],[Metric]],Table4[Metric],0)),"")</f>
        <v/>
      </c>
      <c r="H24" s="162" t="str">
        <f>IF(Table3[[#This Row],[Metric]]&lt;&gt;"",INDEX(Table4[Application Type],MATCH(Table3[[#This Row],[Metric]],Table4[Metric],0)),"")</f>
        <v/>
      </c>
      <c r="I24" s="162" t="str">
        <f>IF(Table3[[#This Row],[Metric]]&lt;&gt;"",INDEX(Table4[Measurable Entity],MATCH(Table3[[#This Row],[Metric]],Table4[Metric],0)),"")</f>
        <v/>
      </c>
      <c r="J24" s="162" t="str">
        <f>IF(Table3[[#This Row],[Metric]]&lt;&gt;"",INDEX(Table4[Metric Classification],MATCH(Table3[[#This Row],[Metric]],Table4[Metric],0)),"")</f>
        <v/>
      </c>
      <c r="K24" s="163"/>
      <c r="L24" s="157"/>
      <c r="M24" s="158"/>
      <c r="N24" s="158"/>
      <c r="O24" s="158"/>
      <c r="P24" s="158"/>
      <c r="Q24" s="158"/>
      <c r="R24" s="158"/>
      <c r="S24" s="158"/>
      <c r="T24" s="54" t="b">
        <f>ISERROR(IF(Table3[[#This Row],[Metric]]&lt;&gt;"",INDEX(Table4[UOM],MATCH(Table3[[#This Row],[Metric]],Table4[Metric],0)),""))</f>
        <v>0</v>
      </c>
    </row>
    <row r="25" spans="1:20" ht="39.950000000000003" customHeight="1" x14ac:dyDescent="0.25">
      <c r="A25" s="197">
        <v>22</v>
      </c>
      <c r="B25" s="153"/>
      <c r="C25" s="153"/>
      <c r="D25" s="153"/>
      <c r="E25" s="154" t="str">
        <f>IF(Table3[[#This Row],[Metric]]&lt;&gt;"",INDEX(Table4[UOM],MATCH(Table3[[#This Row],[Metric]],Table4[Metric],0)),"")</f>
        <v/>
      </c>
      <c r="F25" s="160" t="str">
        <f>IF(Table3[[#This Row],[Metric]]&lt;&gt;"",INDEX(Table4[Formula],MATCH(Table3[[#This Row],[Metric]],Table4[Metric],0)),"")</f>
        <v/>
      </c>
      <c r="G25" s="161" t="str">
        <f>IF(Table3[[#This Row],[Metric]]&lt;&gt;"",INDEX(Table4[Example],MATCH(Table3[[#This Row],[Metric]],Table4[Metric],0)),"")</f>
        <v/>
      </c>
      <c r="H25" s="162" t="str">
        <f>IF(Table3[[#This Row],[Metric]]&lt;&gt;"",INDEX(Table4[Application Type],MATCH(Table3[[#This Row],[Metric]],Table4[Metric],0)),"")</f>
        <v/>
      </c>
      <c r="I25" s="162" t="str">
        <f>IF(Table3[[#This Row],[Metric]]&lt;&gt;"",INDEX(Table4[Measurable Entity],MATCH(Table3[[#This Row],[Metric]],Table4[Metric],0)),"")</f>
        <v/>
      </c>
      <c r="J25" s="162" t="str">
        <f>IF(Table3[[#This Row],[Metric]]&lt;&gt;"",INDEX(Table4[Metric Classification],MATCH(Table3[[#This Row],[Metric]],Table4[Metric],0)),"")</f>
        <v/>
      </c>
      <c r="K25" s="163"/>
      <c r="L25" s="157"/>
      <c r="M25" s="158"/>
      <c r="N25" s="158"/>
      <c r="O25" s="158"/>
      <c r="P25" s="158"/>
      <c r="Q25" s="158"/>
      <c r="R25" s="158"/>
      <c r="S25" s="158"/>
      <c r="T25" s="54" t="b">
        <f>ISERROR(IF(Table3[[#This Row],[Metric]]&lt;&gt;"",INDEX(Table4[UOM],MATCH(Table3[[#This Row],[Metric]],Table4[Metric],0)),""))</f>
        <v>0</v>
      </c>
    </row>
    <row r="26" spans="1:20" ht="39.950000000000003" customHeight="1" x14ac:dyDescent="0.25">
      <c r="A26" s="197">
        <v>23</v>
      </c>
      <c r="B26" s="153"/>
      <c r="C26" s="153"/>
      <c r="D26" s="153"/>
      <c r="E26" s="154" t="str">
        <f>IF(Table3[[#This Row],[Metric]]&lt;&gt;"",INDEX(Table4[UOM],MATCH(Table3[[#This Row],[Metric]],Table4[Metric],0)),"")</f>
        <v/>
      </c>
      <c r="F26" s="160" t="str">
        <f>IF(Table3[[#This Row],[Metric]]&lt;&gt;"",INDEX(Table4[Formula],MATCH(Table3[[#This Row],[Metric]],Table4[Metric],0)),"")</f>
        <v/>
      </c>
      <c r="G26" s="161" t="str">
        <f>IF(Table3[[#This Row],[Metric]]&lt;&gt;"",INDEX(Table4[Example],MATCH(Table3[[#This Row],[Metric]],Table4[Metric],0)),"")</f>
        <v/>
      </c>
      <c r="H26" s="162" t="str">
        <f>IF(Table3[[#This Row],[Metric]]&lt;&gt;"",INDEX(Table4[Application Type],MATCH(Table3[[#This Row],[Metric]],Table4[Metric],0)),"")</f>
        <v/>
      </c>
      <c r="I26" s="162" t="str">
        <f>IF(Table3[[#This Row],[Metric]]&lt;&gt;"",INDEX(Table4[Measurable Entity],MATCH(Table3[[#This Row],[Metric]],Table4[Metric],0)),"")</f>
        <v/>
      </c>
      <c r="J26" s="162" t="str">
        <f>IF(Table3[[#This Row],[Metric]]&lt;&gt;"",INDEX(Table4[Metric Classification],MATCH(Table3[[#This Row],[Metric]],Table4[Metric],0)),"")</f>
        <v/>
      </c>
      <c r="K26" s="163"/>
      <c r="L26" s="157"/>
      <c r="M26" s="158"/>
      <c r="N26" s="158"/>
      <c r="O26" s="158"/>
      <c r="P26" s="158"/>
      <c r="Q26" s="158"/>
      <c r="R26" s="158"/>
      <c r="S26" s="158"/>
      <c r="T26" s="54" t="b">
        <f>ISERROR(IF(Table3[[#This Row],[Metric]]&lt;&gt;"",INDEX(Table4[UOM],MATCH(Table3[[#This Row],[Metric]],Table4[Metric],0)),""))</f>
        <v>0</v>
      </c>
    </row>
    <row r="27" spans="1:20" ht="39.950000000000003" customHeight="1" x14ac:dyDescent="0.25">
      <c r="A27" s="197">
        <v>24</v>
      </c>
      <c r="B27" s="153"/>
      <c r="C27" s="153"/>
      <c r="D27" s="153"/>
      <c r="E27" s="154" t="str">
        <f>IF(Table3[[#This Row],[Metric]]&lt;&gt;"",INDEX(Table4[UOM],MATCH(Table3[[#This Row],[Metric]],Table4[Metric],0)),"")</f>
        <v/>
      </c>
      <c r="F27" s="160" t="str">
        <f>IF(Table3[[#This Row],[Metric]]&lt;&gt;"",INDEX(Table4[Formula],MATCH(Table3[[#This Row],[Metric]],Table4[Metric],0)),"")</f>
        <v/>
      </c>
      <c r="G27" s="161" t="str">
        <f>IF(Table3[[#This Row],[Metric]]&lt;&gt;"",INDEX(Table4[Example],MATCH(Table3[[#This Row],[Metric]],Table4[Metric],0)),"")</f>
        <v/>
      </c>
      <c r="H27" s="162" t="str">
        <f>IF(Table3[[#This Row],[Metric]]&lt;&gt;"",INDEX(Table4[Application Type],MATCH(Table3[[#This Row],[Metric]],Table4[Metric],0)),"")</f>
        <v/>
      </c>
      <c r="I27" s="162" t="str">
        <f>IF(Table3[[#This Row],[Metric]]&lt;&gt;"",INDEX(Table4[Measurable Entity],MATCH(Table3[[#This Row],[Metric]],Table4[Metric],0)),"")</f>
        <v/>
      </c>
      <c r="J27" s="162" t="str">
        <f>IF(Table3[[#This Row],[Metric]]&lt;&gt;"",INDEX(Table4[Metric Classification],MATCH(Table3[[#This Row],[Metric]],Table4[Metric],0)),"")</f>
        <v/>
      </c>
      <c r="K27" s="163"/>
      <c r="L27" s="157"/>
      <c r="M27" s="158"/>
      <c r="N27" s="158"/>
      <c r="O27" s="158"/>
      <c r="P27" s="158"/>
      <c r="Q27" s="158"/>
      <c r="R27" s="158"/>
      <c r="S27" s="158"/>
      <c r="T27" s="54" t="b">
        <f>ISERROR(IF(Table3[[#This Row],[Metric]]&lt;&gt;"",INDEX(Table4[UOM],MATCH(Table3[[#This Row],[Metric]],Table4[Metric],0)),""))</f>
        <v>0</v>
      </c>
    </row>
    <row r="28" spans="1:20" ht="39.950000000000003" customHeight="1" x14ac:dyDescent="0.25">
      <c r="A28" s="197">
        <v>25</v>
      </c>
      <c r="B28" s="153"/>
      <c r="C28" s="153"/>
      <c r="D28" s="153"/>
      <c r="E28" s="154" t="str">
        <f>IF(Table3[[#This Row],[Metric]]&lt;&gt;"",INDEX(Table4[UOM],MATCH(Table3[[#This Row],[Metric]],Table4[Metric],0)),"")</f>
        <v/>
      </c>
      <c r="F28" s="160" t="str">
        <f>IF(Table3[[#This Row],[Metric]]&lt;&gt;"",INDEX(Table4[Formula],MATCH(Table3[[#This Row],[Metric]],Table4[Metric],0)),"")</f>
        <v/>
      </c>
      <c r="G28" s="161" t="str">
        <f>IF(Table3[[#This Row],[Metric]]&lt;&gt;"",INDEX(Table4[Example],MATCH(Table3[[#This Row],[Metric]],Table4[Metric],0)),"")</f>
        <v/>
      </c>
      <c r="H28" s="162" t="str">
        <f>IF(Table3[[#This Row],[Metric]]&lt;&gt;"",INDEX(Table4[Application Type],MATCH(Table3[[#This Row],[Metric]],Table4[Metric],0)),"")</f>
        <v/>
      </c>
      <c r="I28" s="162" t="str">
        <f>IF(Table3[[#This Row],[Metric]]&lt;&gt;"",INDEX(Table4[Measurable Entity],MATCH(Table3[[#This Row],[Metric]],Table4[Metric],0)),"")</f>
        <v/>
      </c>
      <c r="J28" s="162" t="str">
        <f>IF(Table3[[#This Row],[Metric]]&lt;&gt;"",INDEX(Table4[Metric Classification],MATCH(Table3[[#This Row],[Metric]],Table4[Metric],0)),"")</f>
        <v/>
      </c>
      <c r="K28" s="163"/>
      <c r="L28" s="157"/>
      <c r="M28" s="158"/>
      <c r="N28" s="158"/>
      <c r="O28" s="158"/>
      <c r="P28" s="158"/>
      <c r="Q28" s="158"/>
      <c r="R28" s="158"/>
      <c r="S28" s="158"/>
      <c r="T28" s="54" t="b">
        <f>ISERROR(IF(Table3[[#This Row],[Metric]]&lt;&gt;"",INDEX(Table4[UOM],MATCH(Table3[[#This Row],[Metric]],Table4[Metric],0)),""))</f>
        <v>0</v>
      </c>
    </row>
    <row r="29" spans="1:20" ht="39.950000000000003" customHeight="1" x14ac:dyDescent="0.25">
      <c r="A29" s="197">
        <v>26</v>
      </c>
      <c r="B29" s="153"/>
      <c r="C29" s="153"/>
      <c r="D29" s="153"/>
      <c r="E29" s="154" t="str">
        <f>IF(Table3[[#This Row],[Metric]]&lt;&gt;"",INDEX(Table4[UOM],MATCH(Table3[[#This Row],[Metric]],Table4[Metric],0)),"")</f>
        <v/>
      </c>
      <c r="F29" s="160" t="str">
        <f>IF(Table3[[#This Row],[Metric]]&lt;&gt;"",INDEX(Table4[Formula],MATCH(Table3[[#This Row],[Metric]],Table4[Metric],0)),"")</f>
        <v/>
      </c>
      <c r="G29" s="161" t="str">
        <f>IF(Table3[[#This Row],[Metric]]&lt;&gt;"",INDEX(Table4[Example],MATCH(Table3[[#This Row],[Metric]],Table4[Metric],0)),"")</f>
        <v/>
      </c>
      <c r="H29" s="162" t="str">
        <f>IF(Table3[[#This Row],[Metric]]&lt;&gt;"",INDEX(Table4[Application Type],MATCH(Table3[[#This Row],[Metric]],Table4[Metric],0)),"")</f>
        <v/>
      </c>
      <c r="I29" s="162" t="str">
        <f>IF(Table3[[#This Row],[Metric]]&lt;&gt;"",INDEX(Table4[Measurable Entity],MATCH(Table3[[#This Row],[Metric]],Table4[Metric],0)),"")</f>
        <v/>
      </c>
      <c r="J29" s="162" t="str">
        <f>IF(Table3[[#This Row],[Metric]]&lt;&gt;"",INDEX(Table4[Metric Classification],MATCH(Table3[[#This Row],[Metric]],Table4[Metric],0)),"")</f>
        <v/>
      </c>
      <c r="K29" s="163"/>
      <c r="L29" s="157"/>
      <c r="M29" s="158"/>
      <c r="N29" s="158"/>
      <c r="O29" s="158"/>
      <c r="P29" s="158"/>
      <c r="Q29" s="158"/>
      <c r="R29" s="158"/>
      <c r="S29" s="158"/>
      <c r="T29" s="54" t="b">
        <f>ISERROR(IF(Table3[[#This Row],[Metric]]&lt;&gt;"",INDEX(Table4[UOM],MATCH(Table3[[#This Row],[Metric]],Table4[Metric],0)),""))</f>
        <v>0</v>
      </c>
    </row>
    <row r="30" spans="1:20" ht="39.950000000000003" customHeight="1" x14ac:dyDescent="0.25">
      <c r="A30" s="197">
        <v>27</v>
      </c>
      <c r="B30" s="153"/>
      <c r="C30" s="153"/>
      <c r="D30" s="153"/>
      <c r="E30" s="154" t="str">
        <f>IF(Table3[[#This Row],[Metric]]&lt;&gt;"",INDEX(Table4[UOM],MATCH(Table3[[#This Row],[Metric]],Table4[Metric],0)),"")</f>
        <v/>
      </c>
      <c r="F30" s="160" t="str">
        <f>IF(Table3[[#This Row],[Metric]]&lt;&gt;"",INDEX(Table4[Formula],MATCH(Table3[[#This Row],[Metric]],Table4[Metric],0)),"")</f>
        <v/>
      </c>
      <c r="G30" s="161" t="str">
        <f>IF(Table3[[#This Row],[Metric]]&lt;&gt;"",INDEX(Table4[Example],MATCH(Table3[[#This Row],[Metric]],Table4[Metric],0)),"")</f>
        <v/>
      </c>
      <c r="H30" s="162" t="str">
        <f>IF(Table3[[#This Row],[Metric]]&lt;&gt;"",INDEX(Table4[Application Type],MATCH(Table3[[#This Row],[Metric]],Table4[Metric],0)),"")</f>
        <v/>
      </c>
      <c r="I30" s="162" t="str">
        <f>IF(Table3[[#This Row],[Metric]]&lt;&gt;"",INDEX(Table4[Measurable Entity],MATCH(Table3[[#This Row],[Metric]],Table4[Metric],0)),"")</f>
        <v/>
      </c>
      <c r="J30" s="162" t="str">
        <f>IF(Table3[[#This Row],[Metric]]&lt;&gt;"",INDEX(Table4[Metric Classification],MATCH(Table3[[#This Row],[Metric]],Table4[Metric],0)),"")</f>
        <v/>
      </c>
      <c r="K30" s="163"/>
      <c r="L30" s="157"/>
      <c r="M30" s="158"/>
      <c r="N30" s="158"/>
      <c r="O30" s="158"/>
      <c r="P30" s="158"/>
      <c r="Q30" s="158"/>
      <c r="R30" s="158"/>
      <c r="S30" s="158"/>
      <c r="T30" s="54" t="b">
        <f>ISERROR(IF(Table3[[#This Row],[Metric]]&lt;&gt;"",INDEX(Table4[UOM],MATCH(Table3[[#This Row],[Metric]],Table4[Metric],0)),""))</f>
        <v>0</v>
      </c>
    </row>
    <row r="31" spans="1:20" ht="39.950000000000003" customHeight="1" x14ac:dyDescent="0.25">
      <c r="A31" s="197">
        <v>28</v>
      </c>
      <c r="B31" s="153"/>
      <c r="C31" s="153"/>
      <c r="D31" s="153"/>
      <c r="E31" s="154" t="str">
        <f>IF(Table3[[#This Row],[Metric]]&lt;&gt;"",INDEX(Table4[UOM],MATCH(Table3[[#This Row],[Metric]],Table4[Metric],0)),"")</f>
        <v/>
      </c>
      <c r="F31" s="160" t="str">
        <f>IF(Table3[[#This Row],[Metric]]&lt;&gt;"",INDEX(Table4[Formula],MATCH(Table3[[#This Row],[Metric]],Table4[Metric],0)),"")</f>
        <v/>
      </c>
      <c r="G31" s="161" t="str">
        <f>IF(Table3[[#This Row],[Metric]]&lt;&gt;"",INDEX(Table4[Example],MATCH(Table3[[#This Row],[Metric]],Table4[Metric],0)),"")</f>
        <v/>
      </c>
      <c r="H31" s="162" t="str">
        <f>IF(Table3[[#This Row],[Metric]]&lt;&gt;"",INDEX(Table4[Application Type],MATCH(Table3[[#This Row],[Metric]],Table4[Metric],0)),"")</f>
        <v/>
      </c>
      <c r="I31" s="162" t="str">
        <f>IF(Table3[[#This Row],[Metric]]&lt;&gt;"",INDEX(Table4[Measurable Entity],MATCH(Table3[[#This Row],[Metric]],Table4[Metric],0)),"")</f>
        <v/>
      </c>
      <c r="J31" s="162" t="str">
        <f>IF(Table3[[#This Row],[Metric]]&lt;&gt;"",INDEX(Table4[Metric Classification],MATCH(Table3[[#This Row],[Metric]],Table4[Metric],0)),"")</f>
        <v/>
      </c>
      <c r="K31" s="163"/>
      <c r="L31" s="157"/>
      <c r="M31" s="158"/>
      <c r="N31" s="158"/>
      <c r="O31" s="158"/>
      <c r="P31" s="158"/>
      <c r="Q31" s="158"/>
      <c r="R31" s="158"/>
      <c r="S31" s="158"/>
      <c r="T31" s="54" t="b">
        <f>ISERROR(IF(Table3[[#This Row],[Metric]]&lt;&gt;"",INDEX(Table4[UOM],MATCH(Table3[[#This Row],[Metric]],Table4[Metric],0)),""))</f>
        <v>0</v>
      </c>
    </row>
    <row r="32" spans="1:20" ht="39.950000000000003" customHeight="1" x14ac:dyDescent="0.25">
      <c r="A32" s="197">
        <v>29</v>
      </c>
      <c r="B32" s="153"/>
      <c r="C32" s="153"/>
      <c r="D32" s="153"/>
      <c r="E32" s="164" t="str">
        <f>IF(Table3[[#This Row],[Metric]]&lt;&gt;"",INDEX(Table4[UOM],MATCH(Table3[[#This Row],[Metric]],Table4[Metric],0)),"")</f>
        <v/>
      </c>
      <c r="F32" s="160" t="str">
        <f>IF(Table3[[#This Row],[Metric]]&lt;&gt;"",INDEX(Table4[Formula],MATCH(Table3[[#This Row],[Metric]],Table4[Metric],0)),"")</f>
        <v/>
      </c>
      <c r="G32" s="161" t="str">
        <f>IF(Table3[[#This Row],[Metric]]&lt;&gt;"",INDEX(Table4[Example],MATCH(Table3[[#This Row],[Metric]],Table4[Metric],0)),"")</f>
        <v/>
      </c>
      <c r="H32" s="162" t="str">
        <f>IF(Table3[[#This Row],[Metric]]&lt;&gt;"",INDEX(Table4[Application Type],MATCH(Table3[[#This Row],[Metric]],Table4[Metric],0)),"")</f>
        <v/>
      </c>
      <c r="I32" s="162" t="str">
        <f>IF(Table3[[#This Row],[Metric]]&lt;&gt;"",INDEX(Table4[Measurable Entity],MATCH(Table3[[#This Row],[Metric]],Table4[Metric],0)),"")</f>
        <v/>
      </c>
      <c r="J32" s="162" t="str">
        <f>IF(Table3[[#This Row],[Metric]]&lt;&gt;"",INDEX(Table4[Metric Classification],MATCH(Table3[[#This Row],[Metric]],Table4[Metric],0)),"")</f>
        <v/>
      </c>
      <c r="K32" s="163"/>
      <c r="L32" s="157"/>
      <c r="M32" s="158"/>
      <c r="N32" s="158"/>
      <c r="O32" s="158"/>
      <c r="P32" s="158"/>
      <c r="Q32" s="158"/>
      <c r="R32" s="158"/>
      <c r="S32" s="158"/>
      <c r="T32" s="54" t="b">
        <f>ISERROR(IF(Table3[[#This Row],[Metric]]&lt;&gt;"",INDEX(Table4[UOM],MATCH(Table3[[#This Row],[Metric]],Table4[Metric],0)),""))</f>
        <v>0</v>
      </c>
    </row>
    <row r="33" spans="1:20" ht="39.950000000000003" customHeight="1" x14ac:dyDescent="0.25">
      <c r="A33" s="197">
        <v>30</v>
      </c>
      <c r="B33" s="153"/>
      <c r="C33" s="153"/>
      <c r="D33" s="153"/>
      <c r="E33" s="164"/>
      <c r="F33" s="160"/>
      <c r="G33" s="161"/>
      <c r="H33" s="162"/>
      <c r="I33" s="162"/>
      <c r="J33" s="162"/>
      <c r="K33" s="163"/>
      <c r="L33" s="157"/>
      <c r="M33" s="158"/>
      <c r="N33" s="158"/>
      <c r="O33" s="158"/>
      <c r="P33" s="158"/>
      <c r="Q33" s="158"/>
      <c r="R33" s="158"/>
      <c r="S33" s="158"/>
      <c r="T33" s="54" t="b">
        <f>ISERROR(IF(Table3[[#This Row],[Metric]]&lt;&gt;"",INDEX(Table4[UOM],MATCH(Table3[[#This Row],[Metric]],Table4[Metric],0)),""))</f>
        <v>0</v>
      </c>
    </row>
    <row r="34" spans="1:20" ht="39.950000000000003" customHeight="1" x14ac:dyDescent="0.25">
      <c r="A34" s="197">
        <v>31</v>
      </c>
      <c r="B34" s="153"/>
      <c r="C34" s="153"/>
      <c r="D34" s="153"/>
      <c r="E34" s="164"/>
      <c r="F34" s="160"/>
      <c r="G34" s="161"/>
      <c r="H34" s="162"/>
      <c r="I34" s="162"/>
      <c r="J34" s="162"/>
      <c r="K34" s="163"/>
      <c r="L34" s="157"/>
      <c r="M34" s="158"/>
      <c r="N34" s="158"/>
      <c r="O34" s="158"/>
      <c r="P34" s="158"/>
      <c r="Q34" s="158"/>
      <c r="R34" s="158"/>
      <c r="S34" s="158"/>
      <c r="T34" s="54" t="b">
        <f>ISERROR(IF(Table3[[#This Row],[Metric]]&lt;&gt;"",INDEX(Table4[UOM],MATCH(Table3[[#This Row],[Metric]],Table4[Metric],0)),""))</f>
        <v>0</v>
      </c>
    </row>
    <row r="35" spans="1:20" ht="39.950000000000003" customHeight="1" x14ac:dyDescent="0.25">
      <c r="A35" s="197">
        <v>32</v>
      </c>
      <c r="B35" s="153"/>
      <c r="C35" s="153"/>
      <c r="D35" s="153"/>
      <c r="E35" s="164"/>
      <c r="F35" s="160"/>
      <c r="G35" s="161"/>
      <c r="H35" s="162"/>
      <c r="I35" s="162"/>
      <c r="J35" s="162"/>
      <c r="K35" s="163"/>
      <c r="L35" s="157"/>
      <c r="M35" s="158"/>
      <c r="N35" s="158"/>
      <c r="O35" s="158"/>
      <c r="P35" s="158"/>
      <c r="Q35" s="158"/>
      <c r="R35" s="158"/>
      <c r="S35" s="158"/>
      <c r="T35" s="54" t="b">
        <f>ISERROR(IF(Table3[[#This Row],[Metric]]&lt;&gt;"",INDEX(Table4[UOM],MATCH(Table3[[#This Row],[Metric]],Table4[Metric],0)),""))</f>
        <v>0</v>
      </c>
    </row>
    <row r="36" spans="1:20" ht="39.950000000000003" customHeight="1" x14ac:dyDescent="0.25">
      <c r="A36" s="197">
        <v>33</v>
      </c>
      <c r="B36" s="153"/>
      <c r="C36" s="153"/>
      <c r="D36" s="153"/>
      <c r="E36" s="164"/>
      <c r="F36" s="160"/>
      <c r="G36" s="161"/>
      <c r="H36" s="162"/>
      <c r="I36" s="162"/>
      <c r="J36" s="162"/>
      <c r="K36" s="163"/>
      <c r="L36" s="157"/>
      <c r="M36" s="158"/>
      <c r="N36" s="158"/>
      <c r="O36" s="158"/>
      <c r="P36" s="158"/>
      <c r="Q36" s="158"/>
      <c r="R36" s="158"/>
      <c r="S36" s="158"/>
      <c r="T36" s="54" t="b">
        <f>ISERROR(IF(Table3[[#This Row],[Metric]]&lt;&gt;"",INDEX(Table4[UOM],MATCH(Table3[[#This Row],[Metric]],Table4[Metric],0)),""))</f>
        <v>0</v>
      </c>
    </row>
    <row r="37" spans="1:20" ht="39.950000000000003" customHeight="1" x14ac:dyDescent="0.25">
      <c r="A37" s="197">
        <v>34</v>
      </c>
      <c r="B37" s="153"/>
      <c r="C37" s="153"/>
      <c r="D37" s="153"/>
      <c r="E37" s="164"/>
      <c r="F37" s="160"/>
      <c r="G37" s="161"/>
      <c r="H37" s="162"/>
      <c r="I37" s="162"/>
      <c r="J37" s="162"/>
      <c r="K37" s="163"/>
      <c r="L37" s="157"/>
      <c r="M37" s="158"/>
      <c r="N37" s="158"/>
      <c r="O37" s="158"/>
      <c r="P37" s="158"/>
      <c r="Q37" s="158"/>
      <c r="R37" s="158"/>
      <c r="S37" s="158"/>
      <c r="T37" s="54" t="b">
        <f>ISERROR(IF(Table3[[#This Row],[Metric]]&lt;&gt;"",INDEX(Table4[UOM],MATCH(Table3[[#This Row],[Metric]],Table4[Metric],0)),""))</f>
        <v>0</v>
      </c>
    </row>
    <row r="38" spans="1:20" ht="39.950000000000003" customHeight="1" x14ac:dyDescent="0.25">
      <c r="A38" s="197">
        <v>35</v>
      </c>
      <c r="B38" s="153"/>
      <c r="C38" s="153"/>
      <c r="D38" s="153"/>
      <c r="E38" s="164"/>
      <c r="F38" s="160"/>
      <c r="G38" s="161"/>
      <c r="H38" s="162"/>
      <c r="I38" s="162"/>
      <c r="J38" s="162"/>
      <c r="K38" s="163"/>
      <c r="L38" s="157"/>
      <c r="M38" s="158"/>
      <c r="N38" s="158"/>
      <c r="O38" s="158"/>
      <c r="P38" s="158"/>
      <c r="Q38" s="158"/>
      <c r="R38" s="158"/>
      <c r="S38" s="158"/>
      <c r="T38" s="54" t="b">
        <f>ISERROR(IF(Table3[[#This Row],[Metric]]&lt;&gt;"",INDEX(Table4[UOM],MATCH(Table3[[#This Row],[Metric]],Table4[Metric],0)),""))</f>
        <v>0</v>
      </c>
    </row>
    <row r="39" spans="1:20" ht="39.950000000000003" customHeight="1" x14ac:dyDescent="0.25">
      <c r="A39" s="197">
        <v>36</v>
      </c>
      <c r="B39" s="153"/>
      <c r="C39" s="153"/>
      <c r="D39" s="153"/>
      <c r="E39" s="164" t="str">
        <f>IF(Table3[[#This Row],[Metric]]&lt;&gt;"",INDEX(Table4[UOM],MATCH(Table3[[#This Row],[Metric]],Table4[Metric],0)),"")</f>
        <v/>
      </c>
      <c r="F39" s="160" t="str">
        <f>IF(Table3[[#This Row],[Metric]]&lt;&gt;"",INDEX(Table4[Formula],MATCH(Table3[[#This Row],[Metric]],Table4[Metric],0)),"")</f>
        <v/>
      </c>
      <c r="G39" s="161" t="str">
        <f>IF(Table3[[#This Row],[Metric]]&lt;&gt;"",INDEX(Table4[Example],MATCH(Table3[[#This Row],[Metric]],Table4[Metric],0)),"")</f>
        <v/>
      </c>
      <c r="H39" s="162" t="str">
        <f>IF(Table3[[#This Row],[Metric]]&lt;&gt;"",INDEX(Table4[Application Type],MATCH(Table3[[#This Row],[Metric]],Table4[Metric],0)),"")</f>
        <v/>
      </c>
      <c r="I39" s="162" t="str">
        <f>IF(Table3[[#This Row],[Metric]]&lt;&gt;"",INDEX(Table4[Measurable Entity],MATCH(Table3[[#This Row],[Metric]],Table4[Metric],0)),"")</f>
        <v/>
      </c>
      <c r="J39" s="162" t="str">
        <f>IF(Table3[[#This Row],[Metric]]&lt;&gt;"",INDEX(Table4[Metric Classification],MATCH(Table3[[#This Row],[Metric]],Table4[Metric],0)),"")</f>
        <v/>
      </c>
      <c r="K39" s="163"/>
      <c r="L39" s="157"/>
      <c r="M39" s="158"/>
      <c r="N39" s="158"/>
      <c r="O39" s="158"/>
      <c r="P39" s="158"/>
      <c r="Q39" s="158"/>
      <c r="R39" s="158"/>
      <c r="S39" s="158"/>
      <c r="T39" s="54" t="b">
        <f>ISERROR(IF(Table3[[#This Row],[Metric]]&lt;&gt;"",INDEX(Table4[UOM],MATCH(Table3[[#This Row],[Metric]],Table4[Metric],0)),""))</f>
        <v>0</v>
      </c>
    </row>
    <row r="40" spans="1:20" ht="41.25" customHeight="1" x14ac:dyDescent="0.25">
      <c r="A40" s="197">
        <v>37</v>
      </c>
      <c r="B40" s="153"/>
      <c r="C40" s="153"/>
      <c r="D40" s="153"/>
      <c r="E40" s="164" t="str">
        <f>IF(Table3[[#This Row],[Metric]]&lt;&gt;"",INDEX(Table4[UOM],MATCH(Table3[[#This Row],[Metric]],Table4[Metric],0)),"")</f>
        <v/>
      </c>
      <c r="F40" s="160" t="str">
        <f>IF(Table3[[#This Row],[Metric]]&lt;&gt;"",INDEX(Table4[Formula],MATCH(Table3[[#This Row],[Metric]],Table4[Metric],0)),"")</f>
        <v/>
      </c>
      <c r="G40" s="161" t="str">
        <f>IF(Table3[[#This Row],[Metric]]&lt;&gt;"",INDEX(Table4[Example],MATCH(Table3[[#This Row],[Metric]],Table4[Metric],0)),"")</f>
        <v/>
      </c>
      <c r="H40" s="162" t="str">
        <f>IF(Table3[[#This Row],[Metric]]&lt;&gt;"",INDEX(Table4[Application Type],MATCH(Table3[[#This Row],[Metric]],Table4[Metric],0)),"")</f>
        <v/>
      </c>
      <c r="I40" s="162" t="str">
        <f>IF(Table3[[#This Row],[Metric]]&lt;&gt;"",INDEX(Table4[Measurable Entity],MATCH(Table3[[#This Row],[Metric]],Table4[Metric],0)),"")</f>
        <v/>
      </c>
      <c r="J40" s="162" t="str">
        <f>IF(Table3[[#This Row],[Metric]]&lt;&gt;"",INDEX(Table4[Metric Classification],MATCH(Table3[[#This Row],[Metric]],Table4[Metric],0)),"")</f>
        <v/>
      </c>
      <c r="K40" s="163"/>
      <c r="L40" s="157"/>
      <c r="M40" s="158"/>
      <c r="N40" s="158"/>
      <c r="O40" s="158"/>
      <c r="P40" s="158"/>
      <c r="Q40" s="158"/>
      <c r="R40" s="158"/>
      <c r="S40" s="158"/>
      <c r="T40" s="54" t="b">
        <f>ISERROR(IF(Table3[[#This Row],[Metric]]&lt;&gt;"",INDEX(Table4[UOM],MATCH(Table3[[#This Row],[Metric]],Table4[Metric],0)),""))</f>
        <v>0</v>
      </c>
    </row>
    <row r="41" spans="1:20" x14ac:dyDescent="0.25">
      <c r="B41" s="30"/>
      <c r="C41" s="30"/>
      <c r="D41" s="30"/>
    </row>
    <row r="42" spans="1:20" x14ac:dyDescent="0.25">
      <c r="B42" s="30"/>
      <c r="C42" s="30"/>
      <c r="D42" s="30"/>
    </row>
    <row r="43" spans="1:20" x14ac:dyDescent="0.25">
      <c r="B43" s="30"/>
      <c r="C43" s="30"/>
      <c r="D43" s="30"/>
    </row>
    <row r="44" spans="1:20" x14ac:dyDescent="0.25">
      <c r="B44" s="30"/>
      <c r="C44" s="30"/>
      <c r="D44" s="30"/>
    </row>
    <row r="45" spans="1:20" x14ac:dyDescent="0.25">
      <c r="B45" s="30"/>
      <c r="C45" s="30"/>
      <c r="D45" s="30"/>
    </row>
    <row r="46" spans="1:20" x14ac:dyDescent="0.25">
      <c r="B46" s="30"/>
      <c r="C46" s="30"/>
      <c r="D46" s="30"/>
    </row>
    <row r="47" spans="1:20" x14ac:dyDescent="0.25">
      <c r="B47" s="30"/>
      <c r="C47" s="30"/>
      <c r="D47" s="30"/>
    </row>
    <row r="48" spans="1:20" x14ac:dyDescent="0.25">
      <c r="B48" s="30"/>
      <c r="C48" s="30"/>
      <c r="D48" s="30"/>
    </row>
    <row r="49" spans="2:10" x14ac:dyDescent="0.25">
      <c r="B49" s="30"/>
      <c r="C49" s="30"/>
      <c r="D49" s="30"/>
    </row>
    <row r="50" spans="2:10" x14ac:dyDescent="0.25">
      <c r="B50" s="30"/>
      <c r="C50" s="30"/>
      <c r="D50" s="30"/>
    </row>
    <row r="51" spans="2:10" x14ac:dyDescent="0.25">
      <c r="B51" s="30"/>
      <c r="C51" s="30"/>
      <c r="D51" s="30"/>
    </row>
    <row r="52" spans="2:10" x14ac:dyDescent="0.25">
      <c r="B52" s="30"/>
      <c r="C52" s="30"/>
      <c r="D52" s="30"/>
    </row>
    <row r="53" spans="2:10" x14ac:dyDescent="0.25">
      <c r="B53" s="30"/>
      <c r="C53" s="30"/>
      <c r="D53" s="30"/>
    </row>
    <row r="54" spans="2:10" x14ac:dyDescent="0.25">
      <c r="B54" s="30"/>
      <c r="C54" s="30"/>
      <c r="D54" s="30"/>
      <c r="E54" s="33"/>
      <c r="F54" s="33"/>
      <c r="G54" s="33"/>
      <c r="H54" s="33"/>
      <c r="I54" s="33"/>
      <c r="J54" s="33"/>
    </row>
    <row r="55" spans="2:10" x14ac:dyDescent="0.25">
      <c r="B55" s="30"/>
      <c r="C55" s="30"/>
      <c r="D55" s="30"/>
    </row>
    <row r="56" spans="2:10" x14ac:dyDescent="0.25">
      <c r="B56" s="30"/>
      <c r="C56" s="30"/>
      <c r="D56" s="30"/>
    </row>
  </sheetData>
  <sheetProtection algorithmName="SHA-512" hashValue="e8efAJxtcVK/bjR2J4zLq+OqzI+Fv2aGR60tdeuvh+f7xitvP7wcChVodAFMJMCHuaPNygLtv+VR4AsxTVrTuA==" saltValue="0z7WMGhreE1YTRsF+OAyZg==" spinCount="100000" sheet="1" objects="1" scenarios="1" formatCells="0"/>
  <mergeCells count="4">
    <mergeCell ref="A1:L2"/>
    <mergeCell ref="M2:O2"/>
    <mergeCell ref="P2:R2"/>
    <mergeCell ref="M1:R1"/>
  </mergeCells>
  <conditionalFormatting sqref="L4:L40">
    <cfRule type="expression" dxfId="209" priority="3">
      <formula>$J4="Smaller the Better"</formula>
    </cfRule>
    <cfRule type="expression" dxfId="208" priority="4">
      <formula>$J4="Larger the Better"</formula>
    </cfRule>
    <cfRule type="expression" dxfId="207" priority="5">
      <formula>$J4="Moderate the Best"</formula>
    </cfRule>
  </conditionalFormatting>
  <conditionalFormatting sqref="A4:S40">
    <cfRule type="expression" dxfId="206" priority="2">
      <formula>ISERROR(A4)</formula>
    </cfRule>
  </conditionalFormatting>
  <conditionalFormatting sqref="X3:AC3">
    <cfRule type="expression" dxfId="205" priority="1">
      <formula>ISERROR(X3)</formula>
    </cfRule>
  </conditionalFormatting>
  <dataValidations count="6">
    <dataValidation type="list" errorStyle="information" allowBlank="1" showInputMessage="1" showErrorMessage="1" sqref="X3 D4:E40" xr:uid="{00000000-0002-0000-0100-000002000000}">
      <formula1>SelectedMetrics</formula1>
    </dataValidation>
    <dataValidation allowBlank="1" showInputMessage="1" showErrorMessage="1" prompt="If any katapult parameters are not applicable justification is mandatory" sqref="S3" xr:uid="{5A291A4C-3734-4D60-B04A-B7E53B697A85}"/>
    <dataValidation type="list" errorStyle="information" allowBlank="1" showInputMessage="1" showErrorMessage="1" sqref="B4:B40" xr:uid="{00000000-0002-0000-0100-000000000000}">
      <formula1>Cats</formula1>
    </dataValidation>
    <dataValidation type="list" errorStyle="information" allowBlank="1" showInputMessage="1" showErrorMessage="1" sqref="C4:C40" xr:uid="{00000000-0002-0000-0100-000001000000}">
      <formula1>SelectedKPIs</formula1>
    </dataValidation>
    <dataValidation type="list" errorStyle="information" allowBlank="1" showInputMessage="1" showErrorMessage="1" sqref="L4:L40" xr:uid="{00000000-0002-0000-0100-000003000000}">
      <formula1>"1%,2%,3%,4%,5%,6%,7%,8%,9%,10%"</formula1>
    </dataValidation>
    <dataValidation type="list" allowBlank="1" showInputMessage="1" showErrorMessage="1" sqref="M4:R40" xr:uid="{00000000-0002-0000-0100-000004000000}">
      <formula1>"Yes"</formula1>
    </dataValidation>
  </dataValidations>
  <pageMargins left="0.7" right="0.7" top="0.75" bottom="0.75" header="0.3" footer="0.3"/>
  <pageSetup scale="53" fitToHeight="0" orientation="landscape" r:id="rId1"/>
  <rowBreaks count="1" manualBreakCount="1">
    <brk id="22" max="18" man="1"/>
  </rowBreaks>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pageSetUpPr fitToPage="1"/>
  </sheetPr>
  <dimension ref="A1:L21"/>
  <sheetViews>
    <sheetView showGridLines="0" zoomScaleNormal="100" workbookViewId="0">
      <selection sqref="A1:L5"/>
    </sheetView>
  </sheetViews>
  <sheetFormatPr defaultRowHeight="15" outlineLevelRow="1" x14ac:dyDescent="0.25"/>
  <cols>
    <col min="1" max="1" width="10.109375" customWidth="1"/>
    <col min="2" max="3" width="16.6640625" customWidth="1"/>
    <col min="4" max="4" width="7.77734375" customWidth="1"/>
    <col min="5" max="5" width="8" customWidth="1"/>
  </cols>
  <sheetData>
    <row r="1" spans="1:12" ht="15" customHeight="1" x14ac:dyDescent="0.25">
      <c r="A1" s="233" t="s">
        <v>251</v>
      </c>
      <c r="B1" s="233"/>
      <c r="C1" s="233"/>
      <c r="D1" s="233"/>
      <c r="E1" s="233"/>
      <c r="F1" s="233"/>
      <c r="G1" s="233"/>
      <c r="H1" s="233"/>
      <c r="I1" s="233"/>
      <c r="J1" s="233"/>
      <c r="K1" s="233"/>
      <c r="L1" s="233"/>
    </row>
    <row r="2" spans="1:12" ht="15" customHeight="1" x14ac:dyDescent="0.25">
      <c r="A2" s="233"/>
      <c r="B2" s="233"/>
      <c r="C2" s="233"/>
      <c r="D2" s="233"/>
      <c r="E2" s="233"/>
      <c r="F2" s="233"/>
      <c r="G2" s="233"/>
      <c r="H2" s="233"/>
      <c r="I2" s="233"/>
      <c r="J2" s="233"/>
      <c r="K2" s="233"/>
      <c r="L2" s="233"/>
    </row>
    <row r="3" spans="1:12" ht="16.5" thickBot="1" x14ac:dyDescent="0.3">
      <c r="A3" s="231" t="s">
        <v>915</v>
      </c>
      <c r="B3" s="232"/>
      <c r="C3" s="232"/>
      <c r="D3" s="232"/>
      <c r="E3" s="232"/>
      <c r="F3" s="232"/>
      <c r="G3" s="232"/>
      <c r="H3" s="232"/>
      <c r="I3" s="232"/>
      <c r="J3" s="232"/>
      <c r="K3" s="232"/>
      <c r="L3" s="232"/>
    </row>
    <row r="4" spans="1:12" ht="15.75" outlineLevel="1" thickTop="1" x14ac:dyDescent="0.25">
      <c r="A4" s="235" t="s">
        <v>254</v>
      </c>
      <c r="B4" s="235"/>
      <c r="C4" s="235"/>
      <c r="D4" s="235"/>
      <c r="E4" s="235"/>
      <c r="F4" s="235"/>
      <c r="G4" s="235"/>
      <c r="H4" s="235"/>
      <c r="I4" s="235"/>
      <c r="J4" s="235"/>
      <c r="K4" s="235"/>
      <c r="L4" s="235"/>
    </row>
    <row r="5" spans="1:12" outlineLevel="1" x14ac:dyDescent="0.25">
      <c r="A5" s="124" t="s">
        <v>242</v>
      </c>
      <c r="B5" s="124" t="s">
        <v>243</v>
      </c>
      <c r="C5" s="124" t="s">
        <v>401</v>
      </c>
      <c r="D5" s="124" t="s">
        <v>250</v>
      </c>
      <c r="E5" s="124" t="s">
        <v>106</v>
      </c>
      <c r="F5" s="124" t="s">
        <v>244</v>
      </c>
      <c r="G5" s="124" t="s">
        <v>245</v>
      </c>
      <c r="H5" s="124" t="s">
        <v>246</v>
      </c>
      <c r="I5" s="124" t="s">
        <v>247</v>
      </c>
      <c r="J5" s="124" t="s">
        <v>248</v>
      </c>
      <c r="K5" s="124" t="s">
        <v>249</v>
      </c>
      <c r="L5" s="124" t="s">
        <v>255</v>
      </c>
    </row>
    <row r="6" spans="1:12" outlineLevel="1" x14ac:dyDescent="0.25">
      <c r="A6" s="125"/>
      <c r="B6" s="126"/>
      <c r="C6" s="126"/>
      <c r="D6" s="125"/>
      <c r="E6" s="125"/>
      <c r="F6" s="125"/>
      <c r="G6" s="125"/>
      <c r="H6" s="125"/>
      <c r="I6" s="125"/>
      <c r="J6" s="125"/>
      <c r="K6" s="125"/>
      <c r="L6" s="125"/>
    </row>
    <row r="7" spans="1:12" outlineLevel="1" x14ac:dyDescent="0.25">
      <c r="A7" s="127"/>
      <c r="B7" s="128"/>
      <c r="C7" s="128"/>
      <c r="D7" s="127"/>
      <c r="E7" s="127"/>
      <c r="F7" s="127"/>
      <c r="G7" s="127"/>
      <c r="H7" s="127"/>
      <c r="I7" s="127"/>
      <c r="J7" s="127"/>
      <c r="K7" s="127"/>
      <c r="L7" s="127"/>
    </row>
    <row r="8" spans="1:12" outlineLevel="1" x14ac:dyDescent="0.25">
      <c r="A8" s="127"/>
      <c r="B8" s="128"/>
      <c r="C8" s="128"/>
      <c r="D8" s="127"/>
      <c r="E8" s="127"/>
      <c r="F8" s="127"/>
      <c r="G8" s="127"/>
      <c r="H8" s="127"/>
      <c r="I8" s="127"/>
      <c r="J8" s="127"/>
      <c r="K8" s="127"/>
      <c r="L8" s="127"/>
    </row>
    <row r="9" spans="1:12" outlineLevel="1" x14ac:dyDescent="0.25">
      <c r="A9" s="127"/>
      <c r="B9" s="128"/>
      <c r="C9" s="128"/>
      <c r="D9" s="127"/>
      <c r="E9" s="127"/>
      <c r="F9" s="127"/>
      <c r="G9" s="127"/>
      <c r="H9" s="127"/>
      <c r="I9" s="127"/>
      <c r="J9" s="127"/>
      <c r="K9" s="127"/>
      <c r="L9" s="127"/>
    </row>
    <row r="10" spans="1:12" outlineLevel="1" x14ac:dyDescent="0.25">
      <c r="A10" s="127"/>
      <c r="B10" s="128"/>
      <c r="C10" s="128"/>
      <c r="D10" s="127"/>
      <c r="E10" s="127"/>
      <c r="F10" s="127"/>
      <c r="G10" s="127"/>
      <c r="H10" s="127"/>
      <c r="I10" s="127"/>
      <c r="J10" s="127"/>
      <c r="K10" s="127"/>
      <c r="L10" s="127"/>
    </row>
    <row r="11" spans="1:12" outlineLevel="1" x14ac:dyDescent="0.25">
      <c r="A11" s="129"/>
      <c r="B11" s="130"/>
      <c r="C11" s="130"/>
      <c r="D11" s="129"/>
      <c r="E11" s="129"/>
      <c r="F11" s="129"/>
      <c r="G11" s="129"/>
      <c r="H11" s="129"/>
      <c r="I11" s="129"/>
      <c r="J11" s="129"/>
      <c r="K11" s="129"/>
      <c r="L11" s="129"/>
    </row>
    <row r="12" spans="1:12" outlineLevel="1" x14ac:dyDescent="0.25">
      <c r="A12" s="129"/>
      <c r="B12" s="130"/>
      <c r="C12" s="130"/>
      <c r="D12" s="129"/>
      <c r="E12" s="129"/>
      <c r="F12" s="129"/>
      <c r="G12" s="129"/>
      <c r="H12" s="129"/>
      <c r="I12" s="129"/>
      <c r="J12" s="129"/>
      <c r="K12" s="129"/>
      <c r="L12" s="129"/>
    </row>
    <row r="13" spans="1:12" outlineLevel="1" x14ac:dyDescent="0.25">
      <c r="A13" s="129"/>
      <c r="B13" s="130"/>
      <c r="C13" s="130"/>
      <c r="D13" s="129"/>
      <c r="E13" s="129"/>
      <c r="F13" s="129"/>
      <c r="G13" s="129"/>
      <c r="H13" s="129"/>
      <c r="I13" s="129"/>
      <c r="J13" s="129"/>
      <c r="K13" s="129"/>
      <c r="L13" s="129"/>
    </row>
    <row r="14" spans="1:12" outlineLevel="1" x14ac:dyDescent="0.25">
      <c r="A14" s="129"/>
      <c r="B14" s="130"/>
      <c r="C14" s="130"/>
      <c r="D14" s="129"/>
      <c r="E14" s="129"/>
      <c r="F14" s="129"/>
      <c r="G14" s="129"/>
      <c r="H14" s="129"/>
      <c r="I14" s="129"/>
      <c r="J14" s="129"/>
      <c r="K14" s="129"/>
      <c r="L14" s="129"/>
    </row>
    <row r="15" spans="1:12" outlineLevel="1" x14ac:dyDescent="0.25">
      <c r="A15" s="129"/>
      <c r="B15" s="130"/>
      <c r="C15" s="130"/>
      <c r="D15" s="129"/>
      <c r="E15" s="129"/>
      <c r="F15" s="129"/>
      <c r="G15" s="129"/>
      <c r="H15" s="129"/>
      <c r="I15" s="129"/>
      <c r="J15" s="129"/>
      <c r="K15" s="129"/>
      <c r="L15" s="129"/>
    </row>
    <row r="16" spans="1:12" outlineLevel="1" x14ac:dyDescent="0.25">
      <c r="A16" s="236" t="s">
        <v>253</v>
      </c>
      <c r="B16" s="237"/>
      <c r="C16" s="237"/>
      <c r="D16" s="237"/>
      <c r="E16" s="238"/>
      <c r="F16" s="131">
        <f>SUM(F6:F15)</f>
        <v>0</v>
      </c>
      <c r="G16" s="131">
        <f t="shared" ref="G16:L16" si="0">SUM(G6:G15)</f>
        <v>0</v>
      </c>
      <c r="H16" s="131">
        <f t="shared" si="0"/>
        <v>0</v>
      </c>
      <c r="I16" s="131">
        <f t="shared" si="0"/>
        <v>0</v>
      </c>
      <c r="J16" s="131">
        <f t="shared" si="0"/>
        <v>0</v>
      </c>
      <c r="K16" s="131">
        <f t="shared" si="0"/>
        <v>0</v>
      </c>
      <c r="L16" s="131">
        <f t="shared" si="0"/>
        <v>0</v>
      </c>
    </row>
    <row r="17" spans="1:12" ht="3.75" customHeight="1" outlineLevel="1" x14ac:dyDescent="0.25"/>
    <row r="18" spans="1:12" ht="15.75" x14ac:dyDescent="0.25">
      <c r="A18" s="234" t="s">
        <v>256</v>
      </c>
      <c r="B18" s="234"/>
      <c r="C18" s="234"/>
      <c r="D18" s="234"/>
      <c r="E18" s="234"/>
      <c r="F18" s="234"/>
      <c r="G18" s="234"/>
      <c r="H18" s="234"/>
      <c r="I18" s="234"/>
      <c r="J18" s="234"/>
      <c r="K18" s="234"/>
      <c r="L18" s="234"/>
    </row>
    <row r="19" spans="1:12" ht="53.25" customHeight="1" outlineLevel="1" x14ac:dyDescent="0.25">
      <c r="A19" s="229" t="s">
        <v>807</v>
      </c>
      <c r="B19" s="229"/>
      <c r="C19" s="229"/>
      <c r="D19" s="239" t="s">
        <v>328</v>
      </c>
      <c r="E19" s="240"/>
      <c r="F19" s="240"/>
      <c r="G19" s="240"/>
      <c r="H19" s="240"/>
      <c r="I19" s="240"/>
      <c r="J19" s="240"/>
      <c r="K19" s="240"/>
      <c r="L19" s="241"/>
    </row>
    <row r="20" spans="1:12" ht="54" customHeight="1" outlineLevel="1" x14ac:dyDescent="0.25">
      <c r="A20" s="229" t="s">
        <v>808</v>
      </c>
      <c r="B20" s="229"/>
      <c r="C20" s="229"/>
      <c r="D20" s="230" t="s">
        <v>329</v>
      </c>
      <c r="E20" s="230"/>
      <c r="F20" s="230"/>
      <c r="G20" s="230"/>
      <c r="H20" s="230"/>
      <c r="I20" s="230"/>
      <c r="J20" s="230"/>
      <c r="K20" s="230"/>
      <c r="L20" s="230"/>
    </row>
    <row r="21" spans="1:12" outlineLevel="1" x14ac:dyDescent="0.25"/>
  </sheetData>
  <mergeCells count="9">
    <mergeCell ref="A19:C19"/>
    <mergeCell ref="A20:C20"/>
    <mergeCell ref="D20:L20"/>
    <mergeCell ref="A3:L3"/>
    <mergeCell ref="A1:L2"/>
    <mergeCell ref="A18:L18"/>
    <mergeCell ref="A4:L4"/>
    <mergeCell ref="A16:E16"/>
    <mergeCell ref="D19:L19"/>
  </mergeCells>
  <pageMargins left="0.7" right="0.7" top="0.75" bottom="0.75" header="0.3" footer="0.3"/>
  <pageSetup scale="94" fitToHeight="0" orientation="landscape"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outlinePr summaryBelow="0" summaryRight="0"/>
    <pageSetUpPr fitToPage="1"/>
  </sheetPr>
  <dimension ref="A1:F34"/>
  <sheetViews>
    <sheetView showGridLines="0" zoomScaleNormal="100" workbookViewId="0">
      <selection sqref="A1:L5"/>
    </sheetView>
  </sheetViews>
  <sheetFormatPr defaultRowHeight="15" outlineLevelRow="1" x14ac:dyDescent="0.25"/>
  <cols>
    <col min="1" max="1" width="5.5546875" customWidth="1"/>
    <col min="2" max="2" width="31.33203125" customWidth="1"/>
    <col min="3" max="4" width="12.5546875" customWidth="1"/>
  </cols>
  <sheetData>
    <row r="1" spans="1:5" ht="15" customHeight="1" x14ac:dyDescent="0.25">
      <c r="A1" s="233" t="s">
        <v>330</v>
      </c>
      <c r="B1" s="233"/>
      <c r="C1" s="233"/>
      <c r="D1" s="233"/>
      <c r="E1" s="233"/>
    </row>
    <row r="2" spans="1:5" ht="15" customHeight="1" x14ac:dyDescent="0.25">
      <c r="A2" s="233"/>
      <c r="B2" s="233"/>
      <c r="C2" s="233"/>
      <c r="D2" s="233"/>
      <c r="E2" s="233"/>
    </row>
    <row r="3" spans="1:5" ht="16.5" thickBot="1" x14ac:dyDescent="0.3">
      <c r="A3" s="232" t="s">
        <v>332</v>
      </c>
      <c r="B3" s="232"/>
      <c r="C3" s="232"/>
      <c r="D3" s="232"/>
      <c r="E3" s="232"/>
    </row>
    <row r="4" spans="1:5" ht="13.5" customHeight="1" outlineLevel="1" thickTop="1" x14ac:dyDescent="0.25">
      <c r="A4" s="235" t="s">
        <v>254</v>
      </c>
      <c r="B4" s="235"/>
      <c r="C4" s="235"/>
      <c r="D4" s="235"/>
      <c r="E4" s="235"/>
    </row>
    <row r="5" spans="1:5" outlineLevel="1" x14ac:dyDescent="0.25">
      <c r="A5" s="124" t="s">
        <v>242</v>
      </c>
      <c r="B5" s="124" t="s">
        <v>243</v>
      </c>
      <c r="C5" s="124" t="s">
        <v>203</v>
      </c>
      <c r="D5" s="124" t="s">
        <v>252</v>
      </c>
    </row>
    <row r="6" spans="1:5" outlineLevel="1" x14ac:dyDescent="0.25">
      <c r="A6" s="125"/>
      <c r="B6" s="126"/>
      <c r="C6" s="132"/>
      <c r="D6" s="132"/>
    </row>
    <row r="7" spans="1:5" outlineLevel="1" x14ac:dyDescent="0.25">
      <c r="A7" s="127"/>
      <c r="B7" s="128"/>
      <c r="C7" s="133"/>
      <c r="D7" s="133"/>
    </row>
    <row r="8" spans="1:5" outlineLevel="1" x14ac:dyDescent="0.25">
      <c r="A8" s="127"/>
      <c r="B8" s="128"/>
      <c r="C8" s="133"/>
      <c r="D8" s="133"/>
    </row>
    <row r="9" spans="1:5" outlineLevel="1" x14ac:dyDescent="0.25">
      <c r="A9" s="127"/>
      <c r="B9" s="128"/>
      <c r="C9" s="133"/>
      <c r="D9" s="133"/>
    </row>
    <row r="10" spans="1:5" outlineLevel="1" x14ac:dyDescent="0.25">
      <c r="A10" s="127"/>
      <c r="B10" s="128"/>
      <c r="C10" s="133"/>
      <c r="D10" s="133"/>
    </row>
    <row r="11" spans="1:5" outlineLevel="1" x14ac:dyDescent="0.25">
      <c r="A11" s="129"/>
      <c r="B11" s="130"/>
      <c r="C11" s="134"/>
      <c r="D11" s="134"/>
    </row>
    <row r="12" spans="1:5" outlineLevel="1" x14ac:dyDescent="0.25">
      <c r="A12" s="129"/>
      <c r="B12" s="130"/>
      <c r="C12" s="134"/>
      <c r="D12" s="134"/>
    </row>
    <row r="13" spans="1:5" outlineLevel="1" x14ac:dyDescent="0.25">
      <c r="A13" s="129"/>
      <c r="B13" s="130"/>
      <c r="C13" s="134"/>
      <c r="D13" s="134"/>
    </row>
    <row r="14" spans="1:5" outlineLevel="1" x14ac:dyDescent="0.25">
      <c r="A14" s="129"/>
      <c r="B14" s="130"/>
      <c r="C14" s="134"/>
      <c r="D14" s="134"/>
    </row>
    <row r="15" spans="1:5" outlineLevel="1" x14ac:dyDescent="0.25">
      <c r="A15" s="236" t="s">
        <v>331</v>
      </c>
      <c r="B15" s="238"/>
      <c r="C15" s="135">
        <f>MIN(C6:C14)</f>
        <v>0</v>
      </c>
      <c r="D15" s="136">
        <f>MAX(D6:D14)</f>
        <v>0</v>
      </c>
    </row>
    <row r="16" spans="1:5" ht="3.75" customHeight="1" outlineLevel="1" x14ac:dyDescent="0.25"/>
    <row r="17" spans="1:5" ht="16.5" thickBot="1" x14ac:dyDescent="0.3">
      <c r="A17" s="232" t="s">
        <v>333</v>
      </c>
      <c r="B17" s="232"/>
      <c r="C17" s="232"/>
      <c r="D17" s="232"/>
      <c r="E17" s="232"/>
    </row>
    <row r="18" spans="1:5" ht="15.75" outlineLevel="1" thickTop="1" x14ac:dyDescent="0.25">
      <c r="A18" s="137" t="s">
        <v>0</v>
      </c>
      <c r="B18" s="137" t="s">
        <v>334</v>
      </c>
      <c r="C18" s="137" t="s">
        <v>335</v>
      </c>
      <c r="D18" s="137" t="s">
        <v>336</v>
      </c>
    </row>
    <row r="19" spans="1:5" outlineLevel="1" x14ac:dyDescent="0.25">
      <c r="A19" s="138"/>
      <c r="B19" s="139"/>
      <c r="C19" s="140"/>
      <c r="D19" s="140"/>
    </row>
    <row r="20" spans="1:5" outlineLevel="1" x14ac:dyDescent="0.25">
      <c r="A20" s="141"/>
      <c r="B20" s="142"/>
      <c r="C20" s="143"/>
      <c r="D20" s="143"/>
    </row>
    <row r="21" spans="1:5" outlineLevel="1" x14ac:dyDescent="0.25">
      <c r="A21" s="141"/>
      <c r="B21" s="142"/>
      <c r="C21" s="143"/>
      <c r="D21" s="143"/>
    </row>
    <row r="22" spans="1:5" outlineLevel="1" x14ac:dyDescent="0.25">
      <c r="A22" s="141"/>
      <c r="B22" s="142"/>
      <c r="C22" s="143"/>
      <c r="D22" s="143"/>
    </row>
    <row r="23" spans="1:5" outlineLevel="1" x14ac:dyDescent="0.25">
      <c r="A23" s="141"/>
      <c r="B23" s="142"/>
      <c r="C23" s="143"/>
      <c r="D23" s="143"/>
    </row>
    <row r="24" spans="1:5" outlineLevel="1" x14ac:dyDescent="0.25">
      <c r="A24" s="141"/>
      <c r="B24" s="142"/>
      <c r="C24" s="143"/>
      <c r="D24" s="143"/>
    </row>
    <row r="25" spans="1:5" outlineLevel="1" x14ac:dyDescent="0.25">
      <c r="A25" s="167"/>
      <c r="B25" s="168"/>
      <c r="C25" s="169"/>
      <c r="D25" s="169"/>
    </row>
    <row r="26" spans="1:5" outlineLevel="1" x14ac:dyDescent="0.25">
      <c r="A26" s="167"/>
      <c r="B26" s="168"/>
      <c r="C26" s="169"/>
      <c r="D26" s="169"/>
      <c r="E26" s="44"/>
    </row>
    <row r="27" spans="1:5" ht="3.75" customHeight="1" outlineLevel="1" x14ac:dyDescent="0.25">
      <c r="A27" s="44"/>
      <c r="B27" s="44"/>
      <c r="C27" s="44"/>
      <c r="D27" s="44"/>
      <c r="E27" s="44"/>
    </row>
    <row r="28" spans="1:5" ht="16.5" thickBot="1" x14ac:dyDescent="0.3">
      <c r="A28" s="232" t="s">
        <v>412</v>
      </c>
      <c r="B28" s="232"/>
      <c r="C28" s="232"/>
      <c r="D28" s="232"/>
      <c r="E28" s="232"/>
    </row>
    <row r="29" spans="1:5" ht="59.25" customHeight="1" outlineLevel="1" thickTop="1" x14ac:dyDescent="0.25">
      <c r="A29" s="242" t="s">
        <v>412</v>
      </c>
      <c r="B29" s="243"/>
      <c r="C29" s="244" t="s">
        <v>413</v>
      </c>
      <c r="D29" s="245"/>
      <c r="E29" s="246"/>
    </row>
    <row r="30" spans="1:5" outlineLevel="1" x14ac:dyDescent="0.25">
      <c r="A30" s="42"/>
      <c r="B30" s="42"/>
      <c r="C30" s="43"/>
      <c r="D30" s="43"/>
      <c r="E30" s="43"/>
    </row>
    <row r="34" spans="6:6" x14ac:dyDescent="0.25">
      <c r="F34" s="170"/>
    </row>
  </sheetData>
  <mergeCells count="8">
    <mergeCell ref="A28:E28"/>
    <mergeCell ref="A29:B29"/>
    <mergeCell ref="C29:E29"/>
    <mergeCell ref="A15:B15"/>
    <mergeCell ref="A1:E2"/>
    <mergeCell ref="A3:E3"/>
    <mergeCell ref="A4:E4"/>
    <mergeCell ref="A17:E17"/>
  </mergeCells>
  <dataValidations disablePrompts="1" count="1">
    <dataValidation type="list" allowBlank="1" showInputMessage="1" showErrorMessage="1" sqref="D19:D26" xr:uid="{00000000-0002-0000-0300-000000000000}">
      <formula1>"Internal Milestone, Release to Customer"</formula1>
    </dataValidation>
  </dataValidations>
  <pageMargins left="0.7" right="0.7" top="0.75" bottom="0.75" header="0.3" footer="0.3"/>
  <pageSetup scale="94" fitToHeight="0"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outlinePr summaryBelow="0" summaryRight="0"/>
  </sheetPr>
  <dimension ref="A1:Q242"/>
  <sheetViews>
    <sheetView zoomScale="90" zoomScaleNormal="90" workbookViewId="0">
      <pane xSplit="2" ySplit="7" topLeftCell="C8" activePane="bottomRight" state="frozen"/>
      <selection sqref="A1:L2"/>
      <selection pane="topRight" sqref="A1:L2"/>
      <selection pane="bottomLeft" sqref="A1:L2"/>
      <selection pane="bottomRight" sqref="A1:L5"/>
    </sheetView>
  </sheetViews>
  <sheetFormatPr defaultRowHeight="15" outlineLevelRow="1" x14ac:dyDescent="0.25"/>
  <cols>
    <col min="1" max="1" width="3.6640625" customWidth="1"/>
    <col min="2" max="2" width="29.21875" customWidth="1"/>
    <col min="3" max="3" width="20.5546875" customWidth="1"/>
    <col min="4" max="4" width="25.88671875" bestFit="1" customWidth="1"/>
    <col min="5" max="5" width="12" customWidth="1"/>
    <col min="6" max="6" width="13.109375" customWidth="1"/>
    <col min="7" max="7" width="12" customWidth="1"/>
    <col min="8" max="8" width="13.109375" customWidth="1"/>
    <col min="9" max="9" width="12" customWidth="1"/>
    <col min="10" max="10" width="13.109375" customWidth="1"/>
    <col min="11" max="11" width="12" customWidth="1"/>
    <col min="12" max="12" width="13.109375" customWidth="1"/>
    <col min="13" max="13" width="12" customWidth="1"/>
    <col min="14" max="14" width="13.109375" customWidth="1"/>
  </cols>
  <sheetData>
    <row r="1" spans="1:17" ht="34.5" customHeight="1" x14ac:dyDescent="0.25">
      <c r="A1" s="78"/>
      <c r="B1" s="78" t="s">
        <v>697</v>
      </c>
      <c r="C1" s="78"/>
      <c r="D1" s="78"/>
      <c r="E1" s="53">
        <v>229</v>
      </c>
      <c r="F1" s="53"/>
      <c r="G1" s="53">
        <v>229</v>
      </c>
      <c r="H1" s="53"/>
      <c r="I1" s="53">
        <v>229</v>
      </c>
      <c r="J1" s="53"/>
      <c r="K1" s="53">
        <v>229</v>
      </c>
      <c r="L1" s="53"/>
      <c r="M1" s="53">
        <v>229</v>
      </c>
      <c r="N1" s="53"/>
    </row>
    <row r="2" spans="1:17" ht="19.5" customHeight="1" x14ac:dyDescent="0.25">
      <c r="A2" s="258" t="s">
        <v>698</v>
      </c>
      <c r="B2" s="259"/>
      <c r="C2" s="260"/>
      <c r="D2" s="107" t="s">
        <v>694</v>
      </c>
      <c r="E2" s="251" t="s">
        <v>2</v>
      </c>
      <c r="F2" s="252"/>
      <c r="G2" s="251" t="s">
        <v>2</v>
      </c>
      <c r="H2" s="252"/>
      <c r="I2" s="251" t="s">
        <v>2</v>
      </c>
      <c r="J2" s="252"/>
      <c r="K2" s="251" t="s">
        <v>2</v>
      </c>
      <c r="L2" s="252"/>
      <c r="M2" s="251" t="s">
        <v>2</v>
      </c>
      <c r="N2" s="252"/>
    </row>
    <row r="3" spans="1:17" ht="19.5" customHeight="1" x14ac:dyDescent="0.25">
      <c r="A3" s="261"/>
      <c r="B3" s="262"/>
      <c r="C3" s="263"/>
      <c r="D3" s="107" t="s">
        <v>695</v>
      </c>
      <c r="E3" s="253" t="s">
        <v>402</v>
      </c>
      <c r="F3" s="254"/>
      <c r="G3" s="253" t="s">
        <v>405</v>
      </c>
      <c r="H3" s="254"/>
      <c r="I3" s="253" t="s">
        <v>402</v>
      </c>
      <c r="J3" s="254"/>
      <c r="K3" s="253" t="s">
        <v>402</v>
      </c>
      <c r="L3" s="254"/>
      <c r="M3" s="253" t="s">
        <v>402</v>
      </c>
      <c r="N3" s="254"/>
    </row>
    <row r="4" spans="1:17" ht="19.5" customHeight="1" x14ac:dyDescent="0.25">
      <c r="A4" s="261"/>
      <c r="B4" s="262"/>
      <c r="C4" s="263"/>
      <c r="D4" s="107" t="s">
        <v>696</v>
      </c>
      <c r="E4" s="255">
        <v>4</v>
      </c>
      <c r="F4" s="256"/>
      <c r="G4" s="255">
        <v>4</v>
      </c>
      <c r="H4" s="256"/>
      <c r="I4" s="255">
        <v>4</v>
      </c>
      <c r="J4" s="256"/>
      <c r="K4" s="255">
        <v>4</v>
      </c>
      <c r="L4" s="256"/>
      <c r="M4" s="255">
        <v>4</v>
      </c>
      <c r="N4" s="256"/>
    </row>
    <row r="5" spans="1:17" ht="21" customHeight="1" x14ac:dyDescent="0.25">
      <c r="A5" s="264"/>
      <c r="B5" s="265"/>
      <c r="C5" s="266"/>
      <c r="D5" s="107"/>
      <c r="E5" s="105">
        <v>0</v>
      </c>
      <c r="F5" s="106" t="str">
        <f>E2</f>
        <v>Developer</v>
      </c>
      <c r="G5" s="105">
        <v>0</v>
      </c>
      <c r="H5" s="106" t="str">
        <f>G2</f>
        <v>Developer</v>
      </c>
      <c r="I5" s="105">
        <v>0</v>
      </c>
      <c r="J5" s="106" t="str">
        <f>I2</f>
        <v>Developer</v>
      </c>
      <c r="K5" s="105">
        <v>0</v>
      </c>
      <c r="L5" s="106" t="str">
        <f>K2</f>
        <v>Developer</v>
      </c>
      <c r="M5" s="105">
        <v>0</v>
      </c>
      <c r="N5" s="106" t="str">
        <f>M2</f>
        <v>Developer</v>
      </c>
    </row>
    <row r="6" spans="1:17" ht="18" customHeight="1" x14ac:dyDescent="0.25">
      <c r="A6" s="257" t="s">
        <v>1</v>
      </c>
      <c r="B6" s="257"/>
      <c r="C6" s="257"/>
      <c r="D6" s="257"/>
      <c r="E6" s="257"/>
      <c r="F6" s="257"/>
      <c r="G6" s="257"/>
      <c r="H6" s="257"/>
      <c r="I6" s="257"/>
      <c r="J6" s="257"/>
      <c r="K6" s="257"/>
      <c r="L6" s="257"/>
      <c r="M6" s="257"/>
      <c r="N6" s="257"/>
      <c r="O6" s="247" t="s">
        <v>610</v>
      </c>
    </row>
    <row r="7" spans="1:17" x14ac:dyDescent="0.25">
      <c r="A7" s="3"/>
      <c r="B7" s="25" t="s">
        <v>7</v>
      </c>
      <c r="C7" s="25" t="s">
        <v>8</v>
      </c>
      <c r="D7" s="103" t="s">
        <v>276</v>
      </c>
      <c r="E7" s="103"/>
      <c r="F7" s="103"/>
      <c r="G7" s="103"/>
      <c r="H7" s="103"/>
      <c r="I7" s="103"/>
      <c r="J7" s="103"/>
      <c r="K7" s="103"/>
      <c r="L7" s="103"/>
      <c r="M7" s="103"/>
      <c r="N7" s="103"/>
      <c r="O7" s="247"/>
    </row>
    <row r="8" spans="1:17" ht="15" customHeight="1" collapsed="1" x14ac:dyDescent="0.25">
      <c r="A8" s="248" t="s">
        <v>9</v>
      </c>
      <c r="B8" s="45" t="s">
        <v>10</v>
      </c>
      <c r="C8" s="21"/>
      <c r="D8" s="109" t="s">
        <v>772</v>
      </c>
      <c r="E8" s="145" t="str">
        <f t="shared" ref="E8:E71" si="0">IF($C8&lt;&gt;"",VLOOKUP($C8,Skills_DB,MATCH(F$5&amp;E$3,SkillRoles,0),0),"")</f>
        <v/>
      </c>
      <c r="F8" s="144" t="str">
        <f t="shared" ref="F8:F71" si="1">$D8</f>
        <v>Not Required</v>
      </c>
      <c r="G8" s="145" t="str">
        <f t="shared" ref="G8:G71" si="2">IF($C8&lt;&gt;"",VLOOKUP($C8,Skills_DB,MATCH(H$5&amp;G$3,SkillRoles,0),0),"")</f>
        <v/>
      </c>
      <c r="H8" s="144" t="str">
        <f t="shared" ref="H8:H71" si="3">$D8</f>
        <v>Not Required</v>
      </c>
      <c r="I8" s="145" t="str">
        <f t="shared" ref="I8:I71" si="4">IF($C8&lt;&gt;"",VLOOKUP($C8,Skills_DB,MATCH(J$5&amp;I$3,SkillRoles,0),0),"")</f>
        <v/>
      </c>
      <c r="J8" s="144" t="str">
        <f t="shared" ref="J8:J71" si="5">$D8</f>
        <v>Not Required</v>
      </c>
      <c r="K8" s="145" t="str">
        <f t="shared" ref="K8:K71" si="6">IF($C8&lt;&gt;"",VLOOKUP($C8,Skills_DB,MATCH(L$5&amp;K$3,SkillRoles,0),0),"")</f>
        <v/>
      </c>
      <c r="L8" s="144" t="str">
        <f t="shared" ref="L8:L71" si="7">$D8</f>
        <v>Not Required</v>
      </c>
      <c r="M8" s="145" t="str">
        <f t="shared" ref="M8:M71" si="8">IF($C8&lt;&gt;"",VLOOKUP($C8,Skills_DB,MATCH(N$5&amp;M$3,SkillRoles,0),0),"")</f>
        <v/>
      </c>
      <c r="N8" s="144" t="str">
        <f t="shared" ref="N8:N71" si="9">$D8</f>
        <v>Not Required</v>
      </c>
      <c r="O8" s="51"/>
      <c r="P8" s="108" t="str">
        <f>IF($C8&lt;&gt;"",VLOOKUP($C8,Skills_DB,MATCH(Q$5&amp;P$3,SkillRoles,0),0),"")</f>
        <v/>
      </c>
      <c r="Q8" s="108" t="str">
        <f>$D8</f>
        <v>Not Required</v>
      </c>
    </row>
    <row r="9" spans="1:17" ht="15.75" hidden="1" outlineLevel="1" x14ac:dyDescent="0.25">
      <c r="A9" s="249"/>
      <c r="B9" s="46" t="s">
        <v>10</v>
      </c>
      <c r="C9" s="23" t="s">
        <v>11</v>
      </c>
      <c r="D9" s="29" t="s">
        <v>772</v>
      </c>
      <c r="E9" s="145">
        <f t="shared" si="0"/>
        <v>2</v>
      </c>
      <c r="F9" s="144" t="str">
        <f t="shared" si="1"/>
        <v>Not Required</v>
      </c>
      <c r="G9" s="145">
        <f t="shared" si="2"/>
        <v>3</v>
      </c>
      <c r="H9" s="144" t="str">
        <f t="shared" si="3"/>
        <v>Not Required</v>
      </c>
      <c r="I9" s="145">
        <f t="shared" si="4"/>
        <v>2</v>
      </c>
      <c r="J9" s="144" t="str">
        <f t="shared" si="5"/>
        <v>Not Required</v>
      </c>
      <c r="K9" s="145">
        <f t="shared" si="6"/>
        <v>2</v>
      </c>
      <c r="L9" s="144" t="str">
        <f t="shared" si="7"/>
        <v>Not Required</v>
      </c>
      <c r="M9" s="145">
        <f t="shared" si="8"/>
        <v>2</v>
      </c>
      <c r="N9" s="144" t="str">
        <f t="shared" si="9"/>
        <v>Not Required</v>
      </c>
      <c r="O9" s="52" t="s">
        <v>414</v>
      </c>
    </row>
    <row r="10" spans="1:17" ht="15.75" hidden="1" outlineLevel="1" x14ac:dyDescent="0.25">
      <c r="A10" s="249"/>
      <c r="B10" s="46" t="s">
        <v>10</v>
      </c>
      <c r="C10" s="23" t="s">
        <v>700</v>
      </c>
      <c r="D10" s="29" t="s">
        <v>772</v>
      </c>
      <c r="E10" s="145">
        <f t="shared" si="0"/>
        <v>2</v>
      </c>
      <c r="F10" s="144" t="str">
        <f t="shared" si="1"/>
        <v>Not Required</v>
      </c>
      <c r="G10" s="145">
        <f t="shared" si="2"/>
        <v>3</v>
      </c>
      <c r="H10" s="144" t="str">
        <f t="shared" si="3"/>
        <v>Not Required</v>
      </c>
      <c r="I10" s="145">
        <f t="shared" si="4"/>
        <v>2</v>
      </c>
      <c r="J10" s="144" t="str">
        <f t="shared" si="5"/>
        <v>Not Required</v>
      </c>
      <c r="K10" s="145">
        <f t="shared" si="6"/>
        <v>2</v>
      </c>
      <c r="L10" s="144" t="str">
        <f t="shared" si="7"/>
        <v>Not Required</v>
      </c>
      <c r="M10" s="145">
        <f t="shared" si="8"/>
        <v>2</v>
      </c>
      <c r="N10" s="144" t="str">
        <f t="shared" si="9"/>
        <v>Not Required</v>
      </c>
      <c r="O10" s="52" t="s">
        <v>415</v>
      </c>
    </row>
    <row r="11" spans="1:17" ht="15.75" hidden="1" outlineLevel="1" x14ac:dyDescent="0.25">
      <c r="A11" s="249"/>
      <c r="B11" s="46" t="s">
        <v>10</v>
      </c>
      <c r="C11" s="23" t="s">
        <v>701</v>
      </c>
      <c r="D11" s="29" t="s">
        <v>772</v>
      </c>
      <c r="E11" s="145">
        <f t="shared" si="0"/>
        <v>2</v>
      </c>
      <c r="F11" s="144" t="str">
        <f t="shared" si="1"/>
        <v>Not Required</v>
      </c>
      <c r="G11" s="145">
        <f t="shared" si="2"/>
        <v>3</v>
      </c>
      <c r="H11" s="144" t="str">
        <f t="shared" si="3"/>
        <v>Not Required</v>
      </c>
      <c r="I11" s="145">
        <f t="shared" si="4"/>
        <v>2</v>
      </c>
      <c r="J11" s="144" t="str">
        <f t="shared" si="5"/>
        <v>Not Required</v>
      </c>
      <c r="K11" s="145">
        <f t="shared" si="6"/>
        <v>2</v>
      </c>
      <c r="L11" s="144" t="str">
        <f t="shared" si="7"/>
        <v>Not Required</v>
      </c>
      <c r="M11" s="145">
        <f t="shared" si="8"/>
        <v>2</v>
      </c>
      <c r="N11" s="144" t="str">
        <f t="shared" si="9"/>
        <v>Not Required</v>
      </c>
      <c r="O11" s="52" t="s">
        <v>416</v>
      </c>
    </row>
    <row r="12" spans="1:17" ht="15.75" hidden="1" outlineLevel="1" x14ac:dyDescent="0.25">
      <c r="A12" s="249"/>
      <c r="B12" s="46" t="s">
        <v>10</v>
      </c>
      <c r="C12" s="23" t="s">
        <v>702</v>
      </c>
      <c r="D12" s="29" t="s">
        <v>772</v>
      </c>
      <c r="E12" s="145">
        <f t="shared" si="0"/>
        <v>2</v>
      </c>
      <c r="F12" s="144" t="str">
        <f t="shared" si="1"/>
        <v>Not Required</v>
      </c>
      <c r="G12" s="145">
        <f t="shared" si="2"/>
        <v>3</v>
      </c>
      <c r="H12" s="144" t="str">
        <f t="shared" si="3"/>
        <v>Not Required</v>
      </c>
      <c r="I12" s="145">
        <f t="shared" si="4"/>
        <v>2</v>
      </c>
      <c r="J12" s="144" t="str">
        <f t="shared" si="5"/>
        <v>Not Required</v>
      </c>
      <c r="K12" s="145">
        <f t="shared" si="6"/>
        <v>2</v>
      </c>
      <c r="L12" s="144" t="str">
        <f t="shared" si="7"/>
        <v>Not Required</v>
      </c>
      <c r="M12" s="145">
        <f t="shared" si="8"/>
        <v>2</v>
      </c>
      <c r="N12" s="144" t="str">
        <f t="shared" si="9"/>
        <v>Not Required</v>
      </c>
      <c r="O12" s="52" t="s">
        <v>417</v>
      </c>
    </row>
    <row r="13" spans="1:17" ht="15.75" hidden="1" outlineLevel="1" x14ac:dyDescent="0.25">
      <c r="A13" s="249"/>
      <c r="B13" s="46" t="s">
        <v>10</v>
      </c>
      <c r="C13" s="23" t="s">
        <v>703</v>
      </c>
      <c r="D13" s="29" t="s">
        <v>772</v>
      </c>
      <c r="E13" s="145">
        <f t="shared" si="0"/>
        <v>2</v>
      </c>
      <c r="F13" s="144" t="str">
        <f t="shared" si="1"/>
        <v>Not Required</v>
      </c>
      <c r="G13" s="145">
        <f t="shared" si="2"/>
        <v>3</v>
      </c>
      <c r="H13" s="144" t="str">
        <f t="shared" si="3"/>
        <v>Not Required</v>
      </c>
      <c r="I13" s="145">
        <f t="shared" si="4"/>
        <v>2</v>
      </c>
      <c r="J13" s="144" t="str">
        <f t="shared" si="5"/>
        <v>Not Required</v>
      </c>
      <c r="K13" s="145">
        <f t="shared" si="6"/>
        <v>2</v>
      </c>
      <c r="L13" s="144" t="str">
        <f t="shared" si="7"/>
        <v>Not Required</v>
      </c>
      <c r="M13" s="145">
        <f t="shared" si="8"/>
        <v>2</v>
      </c>
      <c r="N13" s="144" t="str">
        <f t="shared" si="9"/>
        <v>Not Required</v>
      </c>
      <c r="O13" s="52" t="s">
        <v>418</v>
      </c>
    </row>
    <row r="14" spans="1:17" ht="15.75" hidden="1" outlineLevel="1" x14ac:dyDescent="0.25">
      <c r="A14" s="249"/>
      <c r="B14" s="46" t="s">
        <v>10</v>
      </c>
      <c r="C14" s="23" t="s">
        <v>705</v>
      </c>
      <c r="D14" s="29" t="s">
        <v>772</v>
      </c>
      <c r="E14" s="145">
        <f t="shared" si="0"/>
        <v>1</v>
      </c>
      <c r="F14" s="144" t="str">
        <f t="shared" si="1"/>
        <v>Not Required</v>
      </c>
      <c r="G14" s="145">
        <f t="shared" si="2"/>
        <v>3</v>
      </c>
      <c r="H14" s="144" t="str">
        <f t="shared" si="3"/>
        <v>Not Required</v>
      </c>
      <c r="I14" s="145">
        <f t="shared" si="4"/>
        <v>1</v>
      </c>
      <c r="J14" s="144" t="str">
        <f t="shared" si="5"/>
        <v>Not Required</v>
      </c>
      <c r="K14" s="145">
        <f t="shared" si="6"/>
        <v>1</v>
      </c>
      <c r="L14" s="144" t="str">
        <f t="shared" si="7"/>
        <v>Not Required</v>
      </c>
      <c r="M14" s="145">
        <f t="shared" si="8"/>
        <v>1</v>
      </c>
      <c r="N14" s="144" t="str">
        <f t="shared" si="9"/>
        <v>Not Required</v>
      </c>
      <c r="O14" s="52" t="s">
        <v>420</v>
      </c>
    </row>
    <row r="15" spans="1:17" ht="15.75" hidden="1" outlineLevel="1" x14ac:dyDescent="0.25">
      <c r="A15" s="249"/>
      <c r="B15" s="46" t="s">
        <v>10</v>
      </c>
      <c r="C15" s="23" t="s">
        <v>706</v>
      </c>
      <c r="D15" s="29" t="s">
        <v>772</v>
      </c>
      <c r="E15" s="145">
        <f t="shared" si="0"/>
        <v>1</v>
      </c>
      <c r="F15" s="144" t="str">
        <f t="shared" si="1"/>
        <v>Not Required</v>
      </c>
      <c r="G15" s="145">
        <f t="shared" si="2"/>
        <v>3</v>
      </c>
      <c r="H15" s="144" t="str">
        <f t="shared" si="3"/>
        <v>Not Required</v>
      </c>
      <c r="I15" s="145">
        <f t="shared" si="4"/>
        <v>1</v>
      </c>
      <c r="J15" s="144" t="str">
        <f t="shared" si="5"/>
        <v>Not Required</v>
      </c>
      <c r="K15" s="145">
        <f t="shared" si="6"/>
        <v>1</v>
      </c>
      <c r="L15" s="144" t="str">
        <f t="shared" si="7"/>
        <v>Not Required</v>
      </c>
      <c r="M15" s="145">
        <f t="shared" si="8"/>
        <v>1</v>
      </c>
      <c r="N15" s="144" t="str">
        <f t="shared" si="9"/>
        <v>Not Required</v>
      </c>
      <c r="O15" s="52" t="s">
        <v>421</v>
      </c>
    </row>
    <row r="16" spans="1:17" ht="15.75" hidden="1" outlineLevel="1" x14ac:dyDescent="0.25">
      <c r="A16" s="249"/>
      <c r="B16" s="46" t="s">
        <v>10</v>
      </c>
      <c r="C16" s="23" t="s">
        <v>707</v>
      </c>
      <c r="D16" s="29" t="s">
        <v>772</v>
      </c>
      <c r="E16" s="145">
        <f t="shared" si="0"/>
        <v>1</v>
      </c>
      <c r="F16" s="144" t="str">
        <f t="shared" si="1"/>
        <v>Not Required</v>
      </c>
      <c r="G16" s="145">
        <f t="shared" si="2"/>
        <v>3</v>
      </c>
      <c r="H16" s="144" t="str">
        <f t="shared" si="3"/>
        <v>Not Required</v>
      </c>
      <c r="I16" s="145">
        <f t="shared" si="4"/>
        <v>1</v>
      </c>
      <c r="J16" s="144" t="str">
        <f t="shared" si="5"/>
        <v>Not Required</v>
      </c>
      <c r="K16" s="145">
        <f t="shared" si="6"/>
        <v>1</v>
      </c>
      <c r="L16" s="144" t="str">
        <f t="shared" si="7"/>
        <v>Not Required</v>
      </c>
      <c r="M16" s="145">
        <f t="shared" si="8"/>
        <v>1</v>
      </c>
      <c r="N16" s="144" t="str">
        <f t="shared" si="9"/>
        <v>Not Required</v>
      </c>
      <c r="O16" s="52" t="s">
        <v>422</v>
      </c>
    </row>
    <row r="17" spans="1:15" ht="15.75" hidden="1" outlineLevel="1" x14ac:dyDescent="0.25">
      <c r="A17" s="249"/>
      <c r="B17" s="46" t="s">
        <v>10</v>
      </c>
      <c r="C17" s="23" t="s">
        <v>708</v>
      </c>
      <c r="D17" s="29" t="s">
        <v>772</v>
      </c>
      <c r="E17" s="145">
        <f t="shared" si="0"/>
        <v>1</v>
      </c>
      <c r="F17" s="144" t="str">
        <f t="shared" si="1"/>
        <v>Not Required</v>
      </c>
      <c r="G17" s="145">
        <f t="shared" si="2"/>
        <v>3</v>
      </c>
      <c r="H17" s="144" t="str">
        <f t="shared" si="3"/>
        <v>Not Required</v>
      </c>
      <c r="I17" s="145">
        <f t="shared" si="4"/>
        <v>1</v>
      </c>
      <c r="J17" s="144" t="str">
        <f t="shared" si="5"/>
        <v>Not Required</v>
      </c>
      <c r="K17" s="145">
        <f t="shared" si="6"/>
        <v>1</v>
      </c>
      <c r="L17" s="144" t="str">
        <f t="shared" si="7"/>
        <v>Not Required</v>
      </c>
      <c r="M17" s="145">
        <f t="shared" si="8"/>
        <v>1</v>
      </c>
      <c r="N17" s="144" t="str">
        <f t="shared" si="9"/>
        <v>Not Required</v>
      </c>
      <c r="O17" s="52" t="s">
        <v>423</v>
      </c>
    </row>
    <row r="18" spans="1:15" ht="15.75" hidden="1" outlineLevel="1" x14ac:dyDescent="0.25">
      <c r="A18" s="249"/>
      <c r="B18" s="46" t="s">
        <v>10</v>
      </c>
      <c r="C18" s="23" t="s">
        <v>709</v>
      </c>
      <c r="D18" s="29" t="s">
        <v>772</v>
      </c>
      <c r="E18" s="145">
        <f t="shared" si="0"/>
        <v>1</v>
      </c>
      <c r="F18" s="144" t="str">
        <f t="shared" si="1"/>
        <v>Not Required</v>
      </c>
      <c r="G18" s="145">
        <f t="shared" si="2"/>
        <v>3</v>
      </c>
      <c r="H18" s="144" t="str">
        <f t="shared" si="3"/>
        <v>Not Required</v>
      </c>
      <c r="I18" s="145">
        <f t="shared" si="4"/>
        <v>1</v>
      </c>
      <c r="J18" s="144" t="str">
        <f t="shared" si="5"/>
        <v>Not Required</v>
      </c>
      <c r="K18" s="145">
        <f t="shared" si="6"/>
        <v>1</v>
      </c>
      <c r="L18" s="144" t="str">
        <f t="shared" si="7"/>
        <v>Not Required</v>
      </c>
      <c r="M18" s="145">
        <f t="shared" si="8"/>
        <v>1</v>
      </c>
      <c r="N18" s="144" t="str">
        <f t="shared" si="9"/>
        <v>Not Required</v>
      </c>
      <c r="O18" s="52" t="s">
        <v>424</v>
      </c>
    </row>
    <row r="19" spans="1:15" ht="15.75" hidden="1" outlineLevel="1" x14ac:dyDescent="0.25">
      <c r="A19" s="249"/>
      <c r="B19" s="46" t="s">
        <v>10</v>
      </c>
      <c r="C19" s="23" t="s">
        <v>711</v>
      </c>
      <c r="D19" s="29" t="s">
        <v>772</v>
      </c>
      <c r="E19" s="145">
        <f t="shared" si="0"/>
        <v>1</v>
      </c>
      <c r="F19" s="144" t="str">
        <f t="shared" si="1"/>
        <v>Not Required</v>
      </c>
      <c r="G19" s="145">
        <f t="shared" si="2"/>
        <v>3</v>
      </c>
      <c r="H19" s="144" t="str">
        <f t="shared" si="3"/>
        <v>Not Required</v>
      </c>
      <c r="I19" s="145">
        <f t="shared" si="4"/>
        <v>1</v>
      </c>
      <c r="J19" s="144" t="str">
        <f t="shared" si="5"/>
        <v>Not Required</v>
      </c>
      <c r="K19" s="145">
        <f t="shared" si="6"/>
        <v>1</v>
      </c>
      <c r="L19" s="144" t="str">
        <f t="shared" si="7"/>
        <v>Not Required</v>
      </c>
      <c r="M19" s="145">
        <f t="shared" si="8"/>
        <v>1</v>
      </c>
      <c r="N19" s="144" t="str">
        <f t="shared" si="9"/>
        <v>Not Required</v>
      </c>
      <c r="O19" s="52" t="s">
        <v>425</v>
      </c>
    </row>
    <row r="20" spans="1:15" ht="15.75" hidden="1" outlineLevel="1" x14ac:dyDescent="0.25">
      <c r="A20" s="249"/>
      <c r="B20" s="46" t="s">
        <v>10</v>
      </c>
      <c r="C20" s="23" t="s">
        <v>712</v>
      </c>
      <c r="D20" s="29" t="s">
        <v>772</v>
      </c>
      <c r="E20" s="145">
        <f t="shared" si="0"/>
        <v>1</v>
      </c>
      <c r="F20" s="144" t="str">
        <f t="shared" si="1"/>
        <v>Not Required</v>
      </c>
      <c r="G20" s="145">
        <f t="shared" si="2"/>
        <v>3</v>
      </c>
      <c r="H20" s="144" t="str">
        <f t="shared" si="3"/>
        <v>Not Required</v>
      </c>
      <c r="I20" s="145">
        <f t="shared" si="4"/>
        <v>1</v>
      </c>
      <c r="J20" s="144" t="str">
        <f t="shared" si="5"/>
        <v>Not Required</v>
      </c>
      <c r="K20" s="145">
        <f t="shared" si="6"/>
        <v>1</v>
      </c>
      <c r="L20" s="144" t="str">
        <f t="shared" si="7"/>
        <v>Not Required</v>
      </c>
      <c r="M20" s="145">
        <f t="shared" si="8"/>
        <v>1</v>
      </c>
      <c r="N20" s="144" t="str">
        <f t="shared" si="9"/>
        <v>Not Required</v>
      </c>
      <c r="O20" s="52" t="s">
        <v>426</v>
      </c>
    </row>
    <row r="21" spans="1:15" ht="15.75" hidden="1" outlineLevel="1" x14ac:dyDescent="0.25">
      <c r="A21" s="249"/>
      <c r="B21" s="46" t="s">
        <v>10</v>
      </c>
      <c r="C21" s="23" t="s">
        <v>419</v>
      </c>
      <c r="D21" s="29" t="s">
        <v>772</v>
      </c>
      <c r="E21" s="145">
        <f t="shared" si="0"/>
        <v>1</v>
      </c>
      <c r="F21" s="144" t="str">
        <f t="shared" si="1"/>
        <v>Not Required</v>
      </c>
      <c r="G21" s="145">
        <f t="shared" si="2"/>
        <v>3</v>
      </c>
      <c r="H21" s="144" t="str">
        <f t="shared" si="3"/>
        <v>Not Required</v>
      </c>
      <c r="I21" s="145">
        <f t="shared" si="4"/>
        <v>1</v>
      </c>
      <c r="J21" s="144" t="str">
        <f t="shared" si="5"/>
        <v>Not Required</v>
      </c>
      <c r="K21" s="145">
        <f t="shared" si="6"/>
        <v>1</v>
      </c>
      <c r="L21" s="144" t="str">
        <f t="shared" si="7"/>
        <v>Not Required</v>
      </c>
      <c r="M21" s="145">
        <f t="shared" si="8"/>
        <v>1</v>
      </c>
      <c r="N21" s="144" t="str">
        <f t="shared" si="9"/>
        <v>Not Required</v>
      </c>
      <c r="O21" s="52" t="s">
        <v>427</v>
      </c>
    </row>
    <row r="22" spans="1:15" ht="15.75" hidden="1" outlineLevel="1" x14ac:dyDescent="0.25">
      <c r="A22" s="249"/>
      <c r="B22" s="46" t="s">
        <v>10</v>
      </c>
      <c r="C22" s="23" t="s">
        <v>713</v>
      </c>
      <c r="D22" s="29" t="s">
        <v>772</v>
      </c>
      <c r="E22" s="145">
        <f t="shared" si="0"/>
        <v>0</v>
      </c>
      <c r="F22" s="144" t="str">
        <f t="shared" si="1"/>
        <v>Not Required</v>
      </c>
      <c r="G22" s="145">
        <f t="shared" si="2"/>
        <v>2</v>
      </c>
      <c r="H22" s="144" t="str">
        <f t="shared" si="3"/>
        <v>Not Required</v>
      </c>
      <c r="I22" s="145">
        <f t="shared" si="4"/>
        <v>0</v>
      </c>
      <c r="J22" s="144" t="str">
        <f t="shared" si="5"/>
        <v>Not Required</v>
      </c>
      <c r="K22" s="145">
        <f t="shared" si="6"/>
        <v>0</v>
      </c>
      <c r="L22" s="144" t="str">
        <f t="shared" si="7"/>
        <v>Not Required</v>
      </c>
      <c r="M22" s="145">
        <f t="shared" si="8"/>
        <v>0</v>
      </c>
      <c r="N22" s="144" t="str">
        <f t="shared" si="9"/>
        <v>Not Required</v>
      </c>
      <c r="O22" s="52" t="s">
        <v>428</v>
      </c>
    </row>
    <row r="23" spans="1:15" ht="15.75" hidden="1" outlineLevel="1" x14ac:dyDescent="0.25">
      <c r="A23" s="249"/>
      <c r="B23" s="46" t="s">
        <v>10</v>
      </c>
      <c r="C23" s="23" t="s">
        <v>714</v>
      </c>
      <c r="D23" s="29" t="s">
        <v>772</v>
      </c>
      <c r="E23" s="145">
        <f t="shared" si="0"/>
        <v>0</v>
      </c>
      <c r="F23" s="144" t="str">
        <f t="shared" si="1"/>
        <v>Not Required</v>
      </c>
      <c r="G23" s="145">
        <f t="shared" si="2"/>
        <v>3</v>
      </c>
      <c r="H23" s="144" t="str">
        <f t="shared" si="3"/>
        <v>Not Required</v>
      </c>
      <c r="I23" s="145">
        <f t="shared" si="4"/>
        <v>0</v>
      </c>
      <c r="J23" s="144" t="str">
        <f t="shared" si="5"/>
        <v>Not Required</v>
      </c>
      <c r="K23" s="145">
        <f t="shared" si="6"/>
        <v>0</v>
      </c>
      <c r="L23" s="144" t="str">
        <f t="shared" si="7"/>
        <v>Not Required</v>
      </c>
      <c r="M23" s="145">
        <f t="shared" si="8"/>
        <v>0</v>
      </c>
      <c r="N23" s="144" t="str">
        <f t="shared" si="9"/>
        <v>Not Required</v>
      </c>
      <c r="O23" s="52"/>
    </row>
    <row r="24" spans="1:15" ht="15.75" hidden="1" outlineLevel="1" x14ac:dyDescent="0.25">
      <c r="A24" s="249"/>
      <c r="B24" s="46" t="s">
        <v>10</v>
      </c>
      <c r="C24" s="23" t="s">
        <v>258</v>
      </c>
      <c r="D24" s="29" t="s">
        <v>772</v>
      </c>
      <c r="E24" s="145">
        <f t="shared" si="0"/>
        <v>1</v>
      </c>
      <c r="F24" s="144" t="str">
        <f t="shared" si="1"/>
        <v>Not Required</v>
      </c>
      <c r="G24" s="145">
        <f t="shared" si="2"/>
        <v>3</v>
      </c>
      <c r="H24" s="144" t="str">
        <f t="shared" si="3"/>
        <v>Not Required</v>
      </c>
      <c r="I24" s="145">
        <f t="shared" si="4"/>
        <v>1</v>
      </c>
      <c r="J24" s="144" t="str">
        <f t="shared" si="5"/>
        <v>Not Required</v>
      </c>
      <c r="K24" s="145">
        <f t="shared" si="6"/>
        <v>1</v>
      </c>
      <c r="L24" s="144" t="str">
        <f t="shared" si="7"/>
        <v>Not Required</v>
      </c>
      <c r="M24" s="145">
        <f t="shared" si="8"/>
        <v>1</v>
      </c>
      <c r="N24" s="144" t="str">
        <f t="shared" si="9"/>
        <v>Not Required</v>
      </c>
      <c r="O24" s="52"/>
    </row>
    <row r="25" spans="1:15" ht="15.75" hidden="1" outlineLevel="1" x14ac:dyDescent="0.25">
      <c r="A25" s="249"/>
      <c r="B25" s="46" t="s">
        <v>10</v>
      </c>
      <c r="C25" s="23" t="s">
        <v>715</v>
      </c>
      <c r="D25" s="29" t="s">
        <v>772</v>
      </c>
      <c r="E25" s="145">
        <f t="shared" si="0"/>
        <v>1</v>
      </c>
      <c r="F25" s="144" t="str">
        <f t="shared" si="1"/>
        <v>Not Required</v>
      </c>
      <c r="G25" s="145">
        <f t="shared" si="2"/>
        <v>2</v>
      </c>
      <c r="H25" s="144" t="str">
        <f t="shared" si="3"/>
        <v>Not Required</v>
      </c>
      <c r="I25" s="145">
        <f t="shared" si="4"/>
        <v>1</v>
      </c>
      <c r="J25" s="144" t="str">
        <f t="shared" si="5"/>
        <v>Not Required</v>
      </c>
      <c r="K25" s="145">
        <f t="shared" si="6"/>
        <v>1</v>
      </c>
      <c r="L25" s="144" t="str">
        <f t="shared" si="7"/>
        <v>Not Required</v>
      </c>
      <c r="M25" s="145">
        <f t="shared" si="8"/>
        <v>1</v>
      </c>
      <c r="N25" s="144" t="str">
        <f t="shared" si="9"/>
        <v>Not Required</v>
      </c>
      <c r="O25" s="52"/>
    </row>
    <row r="26" spans="1:15" ht="15.75" hidden="1" outlineLevel="1" x14ac:dyDescent="0.25">
      <c r="A26" s="249"/>
      <c r="B26" s="46" t="s">
        <v>10</v>
      </c>
      <c r="C26" s="23" t="s">
        <v>271</v>
      </c>
      <c r="D26" s="29" t="s">
        <v>772</v>
      </c>
      <c r="E26" s="145">
        <f t="shared" si="0"/>
        <v>1</v>
      </c>
      <c r="F26" s="144" t="str">
        <f t="shared" si="1"/>
        <v>Not Required</v>
      </c>
      <c r="G26" s="145">
        <f t="shared" si="2"/>
        <v>3</v>
      </c>
      <c r="H26" s="144" t="str">
        <f t="shared" si="3"/>
        <v>Not Required</v>
      </c>
      <c r="I26" s="145">
        <f t="shared" si="4"/>
        <v>1</v>
      </c>
      <c r="J26" s="144" t="str">
        <f t="shared" si="5"/>
        <v>Not Required</v>
      </c>
      <c r="K26" s="145">
        <f t="shared" si="6"/>
        <v>1</v>
      </c>
      <c r="L26" s="144" t="str">
        <f t="shared" si="7"/>
        <v>Not Required</v>
      </c>
      <c r="M26" s="145">
        <f t="shared" si="8"/>
        <v>1</v>
      </c>
      <c r="N26" s="144" t="str">
        <f t="shared" si="9"/>
        <v>Not Required</v>
      </c>
      <c r="O26" s="52" t="s">
        <v>429</v>
      </c>
    </row>
    <row r="27" spans="1:15" ht="15.75" hidden="1" outlineLevel="1" x14ac:dyDescent="0.25">
      <c r="A27" s="249"/>
      <c r="B27" s="46" t="s">
        <v>10</v>
      </c>
      <c r="C27" s="23" t="s">
        <v>272</v>
      </c>
      <c r="D27" s="29" t="s">
        <v>772</v>
      </c>
      <c r="E27" s="145">
        <f t="shared" si="0"/>
        <v>1</v>
      </c>
      <c r="F27" s="144" t="str">
        <f t="shared" si="1"/>
        <v>Not Required</v>
      </c>
      <c r="G27" s="145">
        <f t="shared" si="2"/>
        <v>3</v>
      </c>
      <c r="H27" s="144" t="str">
        <f t="shared" si="3"/>
        <v>Not Required</v>
      </c>
      <c r="I27" s="145">
        <f t="shared" si="4"/>
        <v>1</v>
      </c>
      <c r="J27" s="144" t="str">
        <f t="shared" si="5"/>
        <v>Not Required</v>
      </c>
      <c r="K27" s="145">
        <f t="shared" si="6"/>
        <v>1</v>
      </c>
      <c r="L27" s="144" t="str">
        <f t="shared" si="7"/>
        <v>Not Required</v>
      </c>
      <c r="M27" s="145">
        <f t="shared" si="8"/>
        <v>1</v>
      </c>
      <c r="N27" s="144" t="str">
        <f t="shared" si="9"/>
        <v>Not Required</v>
      </c>
      <c r="O27" s="52"/>
    </row>
    <row r="28" spans="1:15" ht="15.75" hidden="1" outlineLevel="1" x14ac:dyDescent="0.25">
      <c r="A28" s="249"/>
      <c r="B28" s="46" t="s">
        <v>10</v>
      </c>
      <c r="C28" s="23" t="s">
        <v>12</v>
      </c>
      <c r="D28" s="29" t="s">
        <v>772</v>
      </c>
      <c r="E28" s="145">
        <f t="shared" si="0"/>
        <v>0</v>
      </c>
      <c r="F28" s="144" t="str">
        <f t="shared" si="1"/>
        <v>Not Required</v>
      </c>
      <c r="G28" s="145">
        <f t="shared" si="2"/>
        <v>3</v>
      </c>
      <c r="H28" s="144" t="str">
        <f t="shared" si="3"/>
        <v>Not Required</v>
      </c>
      <c r="I28" s="145">
        <f t="shared" si="4"/>
        <v>0</v>
      </c>
      <c r="J28" s="144" t="str">
        <f t="shared" si="5"/>
        <v>Not Required</v>
      </c>
      <c r="K28" s="145">
        <f t="shared" si="6"/>
        <v>0</v>
      </c>
      <c r="L28" s="144" t="str">
        <f t="shared" si="7"/>
        <v>Not Required</v>
      </c>
      <c r="M28" s="145">
        <f t="shared" si="8"/>
        <v>0</v>
      </c>
      <c r="N28" s="144" t="str">
        <f t="shared" si="9"/>
        <v>Not Required</v>
      </c>
      <c r="O28" s="52" t="s">
        <v>430</v>
      </c>
    </row>
    <row r="29" spans="1:15" ht="15.75" hidden="1" outlineLevel="1" x14ac:dyDescent="0.25">
      <c r="A29" s="249"/>
      <c r="B29" s="46" t="s">
        <v>10</v>
      </c>
      <c r="C29" s="23" t="s">
        <v>13</v>
      </c>
      <c r="D29" s="29" t="s">
        <v>772</v>
      </c>
      <c r="E29" s="145">
        <f t="shared" si="0"/>
        <v>0</v>
      </c>
      <c r="F29" s="144" t="str">
        <f t="shared" si="1"/>
        <v>Not Required</v>
      </c>
      <c r="G29" s="145">
        <f t="shared" si="2"/>
        <v>2</v>
      </c>
      <c r="H29" s="144" t="str">
        <f t="shared" si="3"/>
        <v>Not Required</v>
      </c>
      <c r="I29" s="145">
        <f t="shared" si="4"/>
        <v>0</v>
      </c>
      <c r="J29" s="144" t="str">
        <f t="shared" si="5"/>
        <v>Not Required</v>
      </c>
      <c r="K29" s="145">
        <f t="shared" si="6"/>
        <v>0</v>
      </c>
      <c r="L29" s="144" t="str">
        <f t="shared" si="7"/>
        <v>Not Required</v>
      </c>
      <c r="M29" s="145">
        <f t="shared" si="8"/>
        <v>0</v>
      </c>
      <c r="N29" s="144" t="str">
        <f t="shared" si="9"/>
        <v>Not Required</v>
      </c>
      <c r="O29" s="52" t="s">
        <v>431</v>
      </c>
    </row>
    <row r="30" spans="1:15" ht="15.75" collapsed="1" x14ac:dyDescent="0.25">
      <c r="A30" s="249"/>
      <c r="B30" s="45" t="s">
        <v>14</v>
      </c>
      <c r="C30" s="21"/>
      <c r="D30" s="109" t="s">
        <v>772</v>
      </c>
      <c r="E30" s="145" t="str">
        <f t="shared" si="0"/>
        <v/>
      </c>
      <c r="F30" s="144" t="str">
        <f t="shared" si="1"/>
        <v>Not Required</v>
      </c>
      <c r="G30" s="145" t="str">
        <f t="shared" si="2"/>
        <v/>
      </c>
      <c r="H30" s="144" t="str">
        <f t="shared" si="3"/>
        <v>Not Required</v>
      </c>
      <c r="I30" s="145" t="str">
        <f t="shared" si="4"/>
        <v/>
      </c>
      <c r="J30" s="144" t="str">
        <f t="shared" si="5"/>
        <v>Not Required</v>
      </c>
      <c r="K30" s="145" t="str">
        <f t="shared" si="6"/>
        <v/>
      </c>
      <c r="L30" s="144" t="str">
        <f t="shared" si="7"/>
        <v>Not Required</v>
      </c>
      <c r="M30" s="145" t="str">
        <f t="shared" si="8"/>
        <v/>
      </c>
      <c r="N30" s="144" t="str">
        <f t="shared" si="9"/>
        <v>Not Required</v>
      </c>
      <c r="O30" s="52"/>
    </row>
    <row r="31" spans="1:15" ht="15.75" hidden="1" customHeight="1" outlineLevel="1" x14ac:dyDescent="0.25">
      <c r="A31" s="249"/>
      <c r="B31" s="46" t="s">
        <v>14</v>
      </c>
      <c r="C31" s="23" t="s">
        <v>15</v>
      </c>
      <c r="D31" s="29" t="s">
        <v>772</v>
      </c>
      <c r="E31" s="145">
        <f t="shared" si="0"/>
        <v>2</v>
      </c>
      <c r="F31" s="144" t="str">
        <f t="shared" si="1"/>
        <v>Not Required</v>
      </c>
      <c r="G31" s="145">
        <f t="shared" si="2"/>
        <v>3</v>
      </c>
      <c r="H31" s="144" t="str">
        <f t="shared" si="3"/>
        <v>Not Required</v>
      </c>
      <c r="I31" s="145">
        <f t="shared" si="4"/>
        <v>2</v>
      </c>
      <c r="J31" s="144" t="str">
        <f t="shared" si="5"/>
        <v>Not Required</v>
      </c>
      <c r="K31" s="145">
        <f t="shared" si="6"/>
        <v>2</v>
      </c>
      <c r="L31" s="144" t="str">
        <f t="shared" si="7"/>
        <v>Not Required</v>
      </c>
      <c r="M31" s="145">
        <f t="shared" si="8"/>
        <v>2</v>
      </c>
      <c r="N31" s="144" t="str">
        <f t="shared" si="9"/>
        <v>Not Required</v>
      </c>
      <c r="O31" s="52" t="s">
        <v>432</v>
      </c>
    </row>
    <row r="32" spans="1:15" ht="15.75" hidden="1" customHeight="1" outlineLevel="1" x14ac:dyDescent="0.25">
      <c r="A32" s="249"/>
      <c r="B32" s="46" t="s">
        <v>14</v>
      </c>
      <c r="C32" s="23" t="s">
        <v>719</v>
      </c>
      <c r="D32" s="29" t="s">
        <v>772</v>
      </c>
      <c r="E32" s="145">
        <f t="shared" si="0"/>
        <v>0</v>
      </c>
      <c r="F32" s="144" t="str">
        <f t="shared" si="1"/>
        <v>Not Required</v>
      </c>
      <c r="G32" s="145">
        <f t="shared" si="2"/>
        <v>0</v>
      </c>
      <c r="H32" s="144" t="str">
        <f t="shared" si="3"/>
        <v>Not Required</v>
      </c>
      <c r="I32" s="145">
        <f t="shared" si="4"/>
        <v>0</v>
      </c>
      <c r="J32" s="144" t="str">
        <f t="shared" si="5"/>
        <v>Not Required</v>
      </c>
      <c r="K32" s="145">
        <f t="shared" si="6"/>
        <v>0</v>
      </c>
      <c r="L32" s="144" t="str">
        <f t="shared" si="7"/>
        <v>Not Required</v>
      </c>
      <c r="M32" s="145">
        <f t="shared" si="8"/>
        <v>0</v>
      </c>
      <c r="N32" s="144" t="str">
        <f t="shared" si="9"/>
        <v>Not Required</v>
      </c>
      <c r="O32" s="52" t="s">
        <v>433</v>
      </c>
    </row>
    <row r="33" spans="1:15" ht="15.75" hidden="1" customHeight="1" outlineLevel="1" x14ac:dyDescent="0.25">
      <c r="A33" s="249"/>
      <c r="B33" s="46" t="s">
        <v>14</v>
      </c>
      <c r="C33" s="23" t="s">
        <v>720</v>
      </c>
      <c r="D33" s="29" t="s">
        <v>772</v>
      </c>
      <c r="E33" s="145">
        <f t="shared" si="0"/>
        <v>0</v>
      </c>
      <c r="F33" s="144" t="str">
        <f t="shared" si="1"/>
        <v>Not Required</v>
      </c>
      <c r="G33" s="145">
        <f t="shared" si="2"/>
        <v>0</v>
      </c>
      <c r="H33" s="144" t="str">
        <f t="shared" si="3"/>
        <v>Not Required</v>
      </c>
      <c r="I33" s="145">
        <f t="shared" si="4"/>
        <v>0</v>
      </c>
      <c r="J33" s="144" t="str">
        <f t="shared" si="5"/>
        <v>Not Required</v>
      </c>
      <c r="K33" s="145">
        <f t="shared" si="6"/>
        <v>0</v>
      </c>
      <c r="L33" s="144" t="str">
        <f t="shared" si="7"/>
        <v>Not Required</v>
      </c>
      <c r="M33" s="145">
        <f t="shared" si="8"/>
        <v>0</v>
      </c>
      <c r="N33" s="144" t="str">
        <f t="shared" si="9"/>
        <v>Not Required</v>
      </c>
      <c r="O33" s="52" t="s">
        <v>434</v>
      </c>
    </row>
    <row r="34" spans="1:15" ht="15.75" hidden="1" customHeight="1" outlineLevel="1" x14ac:dyDescent="0.25">
      <c r="A34" s="249"/>
      <c r="B34" s="46" t="s">
        <v>14</v>
      </c>
      <c r="C34" s="23" t="s">
        <v>721</v>
      </c>
      <c r="D34" s="29" t="s">
        <v>772</v>
      </c>
      <c r="E34" s="145">
        <f t="shared" si="0"/>
        <v>0</v>
      </c>
      <c r="F34" s="144" t="str">
        <f t="shared" si="1"/>
        <v>Not Required</v>
      </c>
      <c r="G34" s="145">
        <f t="shared" si="2"/>
        <v>0</v>
      </c>
      <c r="H34" s="144" t="str">
        <f t="shared" si="3"/>
        <v>Not Required</v>
      </c>
      <c r="I34" s="145">
        <f t="shared" si="4"/>
        <v>0</v>
      </c>
      <c r="J34" s="144" t="str">
        <f t="shared" si="5"/>
        <v>Not Required</v>
      </c>
      <c r="K34" s="145">
        <f t="shared" si="6"/>
        <v>0</v>
      </c>
      <c r="L34" s="144" t="str">
        <f t="shared" si="7"/>
        <v>Not Required</v>
      </c>
      <c r="M34" s="145">
        <f t="shared" si="8"/>
        <v>0</v>
      </c>
      <c r="N34" s="144" t="str">
        <f t="shared" si="9"/>
        <v>Not Required</v>
      </c>
      <c r="O34" s="52" t="s">
        <v>435</v>
      </c>
    </row>
    <row r="35" spans="1:15" ht="15.75" hidden="1" customHeight="1" outlineLevel="1" x14ac:dyDescent="0.25">
      <c r="A35" s="249"/>
      <c r="B35" s="46" t="s">
        <v>14</v>
      </c>
      <c r="C35" s="23" t="s">
        <v>723</v>
      </c>
      <c r="D35" s="29" t="s">
        <v>772</v>
      </c>
      <c r="E35" s="145">
        <f t="shared" si="0"/>
        <v>1</v>
      </c>
      <c r="F35" s="144" t="str">
        <f t="shared" si="1"/>
        <v>Not Required</v>
      </c>
      <c r="G35" s="145">
        <f t="shared" si="2"/>
        <v>3</v>
      </c>
      <c r="H35" s="144" t="str">
        <f t="shared" si="3"/>
        <v>Not Required</v>
      </c>
      <c r="I35" s="145">
        <f t="shared" si="4"/>
        <v>1</v>
      </c>
      <c r="J35" s="144" t="str">
        <f t="shared" si="5"/>
        <v>Not Required</v>
      </c>
      <c r="K35" s="145">
        <f t="shared" si="6"/>
        <v>1</v>
      </c>
      <c r="L35" s="144" t="str">
        <f t="shared" si="7"/>
        <v>Not Required</v>
      </c>
      <c r="M35" s="145">
        <f t="shared" si="8"/>
        <v>1</v>
      </c>
      <c r="N35" s="144" t="str">
        <f t="shared" si="9"/>
        <v>Not Required</v>
      </c>
      <c r="O35" s="52" t="s">
        <v>436</v>
      </c>
    </row>
    <row r="36" spans="1:15" ht="15.75" hidden="1" customHeight="1" outlineLevel="1" x14ac:dyDescent="0.25">
      <c r="A36" s="249"/>
      <c r="B36" s="46" t="s">
        <v>14</v>
      </c>
      <c r="C36" s="23" t="s">
        <v>724</v>
      </c>
      <c r="D36" s="29" t="s">
        <v>772</v>
      </c>
      <c r="E36" s="145">
        <f t="shared" si="0"/>
        <v>0</v>
      </c>
      <c r="F36" s="144" t="str">
        <f t="shared" si="1"/>
        <v>Not Required</v>
      </c>
      <c r="G36" s="145">
        <f t="shared" si="2"/>
        <v>3</v>
      </c>
      <c r="H36" s="144" t="str">
        <f t="shared" si="3"/>
        <v>Not Required</v>
      </c>
      <c r="I36" s="145">
        <f t="shared" si="4"/>
        <v>0</v>
      </c>
      <c r="J36" s="144" t="str">
        <f t="shared" si="5"/>
        <v>Not Required</v>
      </c>
      <c r="K36" s="145">
        <f t="shared" si="6"/>
        <v>0</v>
      </c>
      <c r="L36" s="144" t="str">
        <f t="shared" si="7"/>
        <v>Not Required</v>
      </c>
      <c r="M36" s="145">
        <f t="shared" si="8"/>
        <v>0</v>
      </c>
      <c r="N36" s="144" t="str">
        <f t="shared" si="9"/>
        <v>Not Required</v>
      </c>
      <c r="O36" s="52" t="s">
        <v>437</v>
      </c>
    </row>
    <row r="37" spans="1:15" ht="15.75" hidden="1" customHeight="1" outlineLevel="1" x14ac:dyDescent="0.25">
      <c r="A37" s="249"/>
      <c r="B37" s="46" t="s">
        <v>14</v>
      </c>
      <c r="C37" s="23" t="s">
        <v>726</v>
      </c>
      <c r="D37" s="29" t="s">
        <v>772</v>
      </c>
      <c r="E37" s="145">
        <f t="shared" si="0"/>
        <v>0</v>
      </c>
      <c r="F37" s="144" t="str">
        <f t="shared" si="1"/>
        <v>Not Required</v>
      </c>
      <c r="G37" s="145">
        <f t="shared" si="2"/>
        <v>0</v>
      </c>
      <c r="H37" s="144" t="str">
        <f t="shared" si="3"/>
        <v>Not Required</v>
      </c>
      <c r="I37" s="145">
        <f t="shared" si="4"/>
        <v>0</v>
      </c>
      <c r="J37" s="144" t="str">
        <f t="shared" si="5"/>
        <v>Not Required</v>
      </c>
      <c r="K37" s="145">
        <f t="shared" si="6"/>
        <v>0</v>
      </c>
      <c r="L37" s="144" t="str">
        <f t="shared" si="7"/>
        <v>Not Required</v>
      </c>
      <c r="M37" s="145">
        <f t="shared" si="8"/>
        <v>0</v>
      </c>
      <c r="N37" s="144" t="str">
        <f t="shared" si="9"/>
        <v>Not Required</v>
      </c>
      <c r="O37" s="52" t="s">
        <v>438</v>
      </c>
    </row>
    <row r="38" spans="1:15" ht="15.75" hidden="1" customHeight="1" outlineLevel="1" x14ac:dyDescent="0.25">
      <c r="A38" s="249"/>
      <c r="B38" s="46" t="s">
        <v>14</v>
      </c>
      <c r="C38" s="23" t="s">
        <v>259</v>
      </c>
      <c r="D38" s="29" t="s">
        <v>772</v>
      </c>
      <c r="E38" s="145">
        <f t="shared" si="0"/>
        <v>0</v>
      </c>
      <c r="F38" s="144" t="str">
        <f t="shared" si="1"/>
        <v>Not Required</v>
      </c>
      <c r="G38" s="145">
        <f t="shared" si="2"/>
        <v>0</v>
      </c>
      <c r="H38" s="144" t="str">
        <f t="shared" si="3"/>
        <v>Not Required</v>
      </c>
      <c r="I38" s="145">
        <f t="shared" si="4"/>
        <v>0</v>
      </c>
      <c r="J38" s="144" t="str">
        <f t="shared" si="5"/>
        <v>Not Required</v>
      </c>
      <c r="K38" s="145">
        <f t="shared" si="6"/>
        <v>0</v>
      </c>
      <c r="L38" s="144" t="str">
        <f t="shared" si="7"/>
        <v>Not Required</v>
      </c>
      <c r="M38" s="145">
        <f t="shared" si="8"/>
        <v>0</v>
      </c>
      <c r="N38" s="144" t="str">
        <f t="shared" si="9"/>
        <v>Not Required</v>
      </c>
      <c r="O38" s="52" t="s">
        <v>439</v>
      </c>
    </row>
    <row r="39" spans="1:15" ht="15.75" collapsed="1" x14ac:dyDescent="0.25">
      <c r="A39" s="249"/>
      <c r="B39" s="45" t="s">
        <v>16</v>
      </c>
      <c r="C39" s="21"/>
      <c r="D39" s="109" t="s">
        <v>772</v>
      </c>
      <c r="E39" s="145" t="str">
        <f t="shared" si="0"/>
        <v/>
      </c>
      <c r="F39" s="144" t="str">
        <f t="shared" si="1"/>
        <v>Not Required</v>
      </c>
      <c r="G39" s="145" t="str">
        <f t="shared" si="2"/>
        <v/>
      </c>
      <c r="H39" s="144" t="str">
        <f t="shared" si="3"/>
        <v>Not Required</v>
      </c>
      <c r="I39" s="145" t="str">
        <f t="shared" si="4"/>
        <v/>
      </c>
      <c r="J39" s="144" t="str">
        <f t="shared" si="5"/>
        <v>Not Required</v>
      </c>
      <c r="K39" s="145" t="str">
        <f t="shared" si="6"/>
        <v/>
      </c>
      <c r="L39" s="144" t="str">
        <f t="shared" si="7"/>
        <v>Not Required</v>
      </c>
      <c r="M39" s="145" t="str">
        <f t="shared" si="8"/>
        <v/>
      </c>
      <c r="N39" s="144" t="str">
        <f t="shared" si="9"/>
        <v>Not Required</v>
      </c>
      <c r="O39" s="52"/>
    </row>
    <row r="40" spans="1:15" ht="15.75" hidden="1" customHeight="1" outlineLevel="1" x14ac:dyDescent="0.25">
      <c r="A40" s="249"/>
      <c r="B40" s="46" t="s">
        <v>16</v>
      </c>
      <c r="C40" s="23" t="s">
        <v>17</v>
      </c>
      <c r="D40" s="29" t="s">
        <v>772</v>
      </c>
      <c r="E40" s="145">
        <f t="shared" si="0"/>
        <v>1</v>
      </c>
      <c r="F40" s="144" t="str">
        <f t="shared" si="1"/>
        <v>Not Required</v>
      </c>
      <c r="G40" s="145">
        <f t="shared" si="2"/>
        <v>2</v>
      </c>
      <c r="H40" s="144" t="str">
        <f t="shared" si="3"/>
        <v>Not Required</v>
      </c>
      <c r="I40" s="145">
        <f t="shared" si="4"/>
        <v>1</v>
      </c>
      <c r="J40" s="144" t="str">
        <f t="shared" si="5"/>
        <v>Not Required</v>
      </c>
      <c r="K40" s="145">
        <f t="shared" si="6"/>
        <v>1</v>
      </c>
      <c r="L40" s="144" t="str">
        <f t="shared" si="7"/>
        <v>Not Required</v>
      </c>
      <c r="M40" s="145">
        <f t="shared" si="8"/>
        <v>1</v>
      </c>
      <c r="N40" s="144" t="str">
        <f t="shared" si="9"/>
        <v>Not Required</v>
      </c>
      <c r="O40" s="52" t="s">
        <v>440</v>
      </c>
    </row>
    <row r="41" spans="1:15" ht="15.75" hidden="1" customHeight="1" outlineLevel="1" x14ac:dyDescent="0.25">
      <c r="A41" s="249"/>
      <c r="B41" s="46" t="s">
        <v>16</v>
      </c>
      <c r="C41" s="23" t="s">
        <v>18</v>
      </c>
      <c r="D41" s="29" t="s">
        <v>772</v>
      </c>
      <c r="E41" s="145">
        <f t="shared" si="0"/>
        <v>1</v>
      </c>
      <c r="F41" s="144" t="str">
        <f t="shared" si="1"/>
        <v>Not Required</v>
      </c>
      <c r="G41" s="145">
        <f t="shared" si="2"/>
        <v>3</v>
      </c>
      <c r="H41" s="144" t="str">
        <f t="shared" si="3"/>
        <v>Not Required</v>
      </c>
      <c r="I41" s="145">
        <f t="shared" si="4"/>
        <v>1</v>
      </c>
      <c r="J41" s="144" t="str">
        <f t="shared" si="5"/>
        <v>Not Required</v>
      </c>
      <c r="K41" s="145">
        <f t="shared" si="6"/>
        <v>1</v>
      </c>
      <c r="L41" s="144" t="str">
        <f t="shared" si="7"/>
        <v>Not Required</v>
      </c>
      <c r="M41" s="145">
        <f t="shared" si="8"/>
        <v>1</v>
      </c>
      <c r="N41" s="144" t="str">
        <f t="shared" si="9"/>
        <v>Not Required</v>
      </c>
      <c r="O41" s="52" t="s">
        <v>441</v>
      </c>
    </row>
    <row r="42" spans="1:15" ht="15.75" hidden="1" customHeight="1" outlineLevel="1" x14ac:dyDescent="0.25">
      <c r="A42" s="249"/>
      <c r="B42" s="46" t="s">
        <v>16</v>
      </c>
      <c r="C42" s="23" t="s">
        <v>26</v>
      </c>
      <c r="D42" s="29" t="s">
        <v>772</v>
      </c>
      <c r="E42" s="145">
        <f t="shared" si="0"/>
        <v>0</v>
      </c>
      <c r="F42" s="144" t="str">
        <f t="shared" si="1"/>
        <v>Not Required</v>
      </c>
      <c r="G42" s="145">
        <f t="shared" si="2"/>
        <v>2</v>
      </c>
      <c r="H42" s="144" t="str">
        <f t="shared" si="3"/>
        <v>Not Required</v>
      </c>
      <c r="I42" s="145">
        <f t="shared" si="4"/>
        <v>0</v>
      </c>
      <c r="J42" s="144" t="str">
        <f t="shared" si="5"/>
        <v>Not Required</v>
      </c>
      <c r="K42" s="145">
        <f t="shared" si="6"/>
        <v>0</v>
      </c>
      <c r="L42" s="144" t="str">
        <f t="shared" si="7"/>
        <v>Not Required</v>
      </c>
      <c r="M42" s="145">
        <f t="shared" si="8"/>
        <v>0</v>
      </c>
      <c r="N42" s="144" t="str">
        <f t="shared" si="9"/>
        <v>Not Required</v>
      </c>
      <c r="O42" s="52" t="s">
        <v>442</v>
      </c>
    </row>
    <row r="43" spans="1:15" ht="15.75" hidden="1" customHeight="1" outlineLevel="1" x14ac:dyDescent="0.25">
      <c r="A43" s="249"/>
      <c r="B43" s="46" t="s">
        <v>16</v>
      </c>
      <c r="C43" s="23" t="s">
        <v>19</v>
      </c>
      <c r="D43" s="29" t="s">
        <v>772</v>
      </c>
      <c r="E43" s="145">
        <f t="shared" si="0"/>
        <v>2</v>
      </c>
      <c r="F43" s="144" t="str">
        <f t="shared" si="1"/>
        <v>Not Required</v>
      </c>
      <c r="G43" s="145">
        <f t="shared" si="2"/>
        <v>3</v>
      </c>
      <c r="H43" s="144" t="str">
        <f t="shared" si="3"/>
        <v>Not Required</v>
      </c>
      <c r="I43" s="145">
        <f t="shared" si="4"/>
        <v>2</v>
      </c>
      <c r="J43" s="144" t="str">
        <f t="shared" si="5"/>
        <v>Not Required</v>
      </c>
      <c r="K43" s="145">
        <f t="shared" si="6"/>
        <v>2</v>
      </c>
      <c r="L43" s="144" t="str">
        <f t="shared" si="7"/>
        <v>Not Required</v>
      </c>
      <c r="M43" s="145">
        <f t="shared" si="8"/>
        <v>2</v>
      </c>
      <c r="N43" s="144" t="str">
        <f t="shared" si="9"/>
        <v>Not Required</v>
      </c>
      <c r="O43" s="52" t="s">
        <v>443</v>
      </c>
    </row>
    <row r="44" spans="1:15" ht="15.75" hidden="1" customHeight="1" outlineLevel="1" x14ac:dyDescent="0.25">
      <c r="A44" s="249"/>
      <c r="B44" s="46" t="s">
        <v>16</v>
      </c>
      <c r="C44" s="23" t="s">
        <v>20</v>
      </c>
      <c r="D44" s="29" t="s">
        <v>772</v>
      </c>
      <c r="E44" s="145">
        <f t="shared" si="0"/>
        <v>2</v>
      </c>
      <c r="F44" s="144" t="str">
        <f t="shared" si="1"/>
        <v>Not Required</v>
      </c>
      <c r="G44" s="145">
        <f t="shared" si="2"/>
        <v>2</v>
      </c>
      <c r="H44" s="144" t="str">
        <f t="shared" si="3"/>
        <v>Not Required</v>
      </c>
      <c r="I44" s="145">
        <f t="shared" si="4"/>
        <v>2</v>
      </c>
      <c r="J44" s="144" t="str">
        <f t="shared" si="5"/>
        <v>Not Required</v>
      </c>
      <c r="K44" s="145">
        <f t="shared" si="6"/>
        <v>2</v>
      </c>
      <c r="L44" s="144" t="str">
        <f t="shared" si="7"/>
        <v>Not Required</v>
      </c>
      <c r="M44" s="145">
        <f t="shared" si="8"/>
        <v>2</v>
      </c>
      <c r="N44" s="144" t="str">
        <f t="shared" si="9"/>
        <v>Not Required</v>
      </c>
      <c r="O44" s="52" t="s">
        <v>444</v>
      </c>
    </row>
    <row r="45" spans="1:15" ht="15.75" hidden="1" customHeight="1" outlineLevel="1" x14ac:dyDescent="0.25">
      <c r="A45" s="249"/>
      <c r="B45" s="46" t="s">
        <v>16</v>
      </c>
      <c r="C45" s="23" t="s">
        <v>21</v>
      </c>
      <c r="D45" s="29" t="s">
        <v>772</v>
      </c>
      <c r="E45" s="145">
        <f t="shared" si="0"/>
        <v>0</v>
      </c>
      <c r="F45" s="144" t="str">
        <f t="shared" si="1"/>
        <v>Not Required</v>
      </c>
      <c r="G45" s="145">
        <f t="shared" si="2"/>
        <v>0</v>
      </c>
      <c r="H45" s="144" t="str">
        <f t="shared" si="3"/>
        <v>Not Required</v>
      </c>
      <c r="I45" s="145">
        <f t="shared" si="4"/>
        <v>0</v>
      </c>
      <c r="J45" s="144" t="str">
        <f t="shared" si="5"/>
        <v>Not Required</v>
      </c>
      <c r="K45" s="145">
        <f t="shared" si="6"/>
        <v>0</v>
      </c>
      <c r="L45" s="144" t="str">
        <f t="shared" si="7"/>
        <v>Not Required</v>
      </c>
      <c r="M45" s="145">
        <f t="shared" si="8"/>
        <v>0</v>
      </c>
      <c r="N45" s="144" t="str">
        <f t="shared" si="9"/>
        <v>Not Required</v>
      </c>
      <c r="O45" s="52" t="s">
        <v>445</v>
      </c>
    </row>
    <row r="46" spans="1:15" ht="15.75" hidden="1" customHeight="1" outlineLevel="1" x14ac:dyDescent="0.25">
      <c r="A46" s="249"/>
      <c r="B46" s="46" t="s">
        <v>16</v>
      </c>
      <c r="C46" s="23" t="s">
        <v>22</v>
      </c>
      <c r="D46" s="29" t="s">
        <v>772</v>
      </c>
      <c r="E46" s="145">
        <f t="shared" si="0"/>
        <v>2</v>
      </c>
      <c r="F46" s="144" t="str">
        <f t="shared" si="1"/>
        <v>Not Required</v>
      </c>
      <c r="G46" s="145">
        <f t="shared" si="2"/>
        <v>2</v>
      </c>
      <c r="H46" s="144" t="str">
        <f t="shared" si="3"/>
        <v>Not Required</v>
      </c>
      <c r="I46" s="145">
        <f t="shared" si="4"/>
        <v>2</v>
      </c>
      <c r="J46" s="144" t="str">
        <f t="shared" si="5"/>
        <v>Not Required</v>
      </c>
      <c r="K46" s="145">
        <f t="shared" si="6"/>
        <v>2</v>
      </c>
      <c r="L46" s="144" t="str">
        <f t="shared" si="7"/>
        <v>Not Required</v>
      </c>
      <c r="M46" s="145">
        <f t="shared" si="8"/>
        <v>2</v>
      </c>
      <c r="N46" s="144" t="str">
        <f t="shared" si="9"/>
        <v>Not Required</v>
      </c>
      <c r="O46" s="52" t="s">
        <v>446</v>
      </c>
    </row>
    <row r="47" spans="1:15" ht="15.75" hidden="1" customHeight="1" outlineLevel="1" x14ac:dyDescent="0.25">
      <c r="A47" s="249"/>
      <c r="B47" s="46" t="s">
        <v>16</v>
      </c>
      <c r="C47" s="23" t="s">
        <v>23</v>
      </c>
      <c r="D47" s="29" t="s">
        <v>772</v>
      </c>
      <c r="E47" s="145">
        <f t="shared" si="0"/>
        <v>0</v>
      </c>
      <c r="F47" s="144" t="str">
        <f t="shared" si="1"/>
        <v>Not Required</v>
      </c>
      <c r="G47" s="145">
        <f t="shared" si="2"/>
        <v>2</v>
      </c>
      <c r="H47" s="144" t="str">
        <f t="shared" si="3"/>
        <v>Not Required</v>
      </c>
      <c r="I47" s="145">
        <f t="shared" si="4"/>
        <v>0</v>
      </c>
      <c r="J47" s="144" t="str">
        <f t="shared" si="5"/>
        <v>Not Required</v>
      </c>
      <c r="K47" s="145">
        <f t="shared" si="6"/>
        <v>0</v>
      </c>
      <c r="L47" s="144" t="str">
        <f t="shared" si="7"/>
        <v>Not Required</v>
      </c>
      <c r="M47" s="145">
        <f t="shared" si="8"/>
        <v>0</v>
      </c>
      <c r="N47" s="144" t="str">
        <f t="shared" si="9"/>
        <v>Not Required</v>
      </c>
      <c r="O47" s="52" t="s">
        <v>447</v>
      </c>
    </row>
    <row r="48" spans="1:15" ht="15.75" hidden="1" customHeight="1" outlineLevel="1" x14ac:dyDescent="0.25">
      <c r="A48" s="249"/>
      <c r="B48" s="46" t="s">
        <v>16</v>
      </c>
      <c r="C48" s="23" t="s">
        <v>24</v>
      </c>
      <c r="D48" s="29" t="s">
        <v>772</v>
      </c>
      <c r="E48" s="145">
        <f t="shared" si="0"/>
        <v>2</v>
      </c>
      <c r="F48" s="144" t="str">
        <f t="shared" si="1"/>
        <v>Not Required</v>
      </c>
      <c r="G48" s="145">
        <f t="shared" si="2"/>
        <v>2</v>
      </c>
      <c r="H48" s="144" t="str">
        <f t="shared" si="3"/>
        <v>Not Required</v>
      </c>
      <c r="I48" s="145">
        <f t="shared" si="4"/>
        <v>2</v>
      </c>
      <c r="J48" s="144" t="str">
        <f t="shared" si="5"/>
        <v>Not Required</v>
      </c>
      <c r="K48" s="145">
        <f t="shared" si="6"/>
        <v>2</v>
      </c>
      <c r="L48" s="144" t="str">
        <f t="shared" si="7"/>
        <v>Not Required</v>
      </c>
      <c r="M48" s="145">
        <f t="shared" si="8"/>
        <v>2</v>
      </c>
      <c r="N48" s="144" t="str">
        <f t="shared" si="9"/>
        <v>Not Required</v>
      </c>
      <c r="O48" s="52" t="s">
        <v>448</v>
      </c>
    </row>
    <row r="49" spans="1:15" ht="15.75" hidden="1" customHeight="1" outlineLevel="1" x14ac:dyDescent="0.25">
      <c r="A49" s="249"/>
      <c r="B49" s="46" t="s">
        <v>16</v>
      </c>
      <c r="C49" s="23" t="s">
        <v>25</v>
      </c>
      <c r="D49" s="29" t="s">
        <v>772</v>
      </c>
      <c r="E49" s="145">
        <f t="shared" si="0"/>
        <v>0</v>
      </c>
      <c r="F49" s="144" t="str">
        <f t="shared" si="1"/>
        <v>Not Required</v>
      </c>
      <c r="G49" s="145">
        <f t="shared" si="2"/>
        <v>0</v>
      </c>
      <c r="H49" s="144" t="str">
        <f t="shared" si="3"/>
        <v>Not Required</v>
      </c>
      <c r="I49" s="145">
        <f t="shared" si="4"/>
        <v>0</v>
      </c>
      <c r="J49" s="144" t="str">
        <f t="shared" si="5"/>
        <v>Not Required</v>
      </c>
      <c r="K49" s="145">
        <f t="shared" si="6"/>
        <v>0</v>
      </c>
      <c r="L49" s="144" t="str">
        <f t="shared" si="7"/>
        <v>Not Required</v>
      </c>
      <c r="M49" s="145">
        <f t="shared" si="8"/>
        <v>0</v>
      </c>
      <c r="N49" s="144" t="str">
        <f t="shared" si="9"/>
        <v>Not Required</v>
      </c>
      <c r="O49" s="52" t="s">
        <v>449</v>
      </c>
    </row>
    <row r="50" spans="1:15" ht="15.75" hidden="1" customHeight="1" outlineLevel="1" x14ac:dyDescent="0.25">
      <c r="A50" s="249"/>
      <c r="B50" s="46" t="s">
        <v>16</v>
      </c>
      <c r="C50" s="23" t="s">
        <v>27</v>
      </c>
      <c r="D50" s="29" t="s">
        <v>772</v>
      </c>
      <c r="E50" s="145">
        <f t="shared" si="0"/>
        <v>0</v>
      </c>
      <c r="F50" s="144" t="str">
        <f t="shared" si="1"/>
        <v>Not Required</v>
      </c>
      <c r="G50" s="145">
        <f t="shared" si="2"/>
        <v>0</v>
      </c>
      <c r="H50" s="144" t="str">
        <f t="shared" si="3"/>
        <v>Not Required</v>
      </c>
      <c r="I50" s="145">
        <f t="shared" si="4"/>
        <v>0</v>
      </c>
      <c r="J50" s="144" t="str">
        <f t="shared" si="5"/>
        <v>Not Required</v>
      </c>
      <c r="K50" s="145">
        <f t="shared" si="6"/>
        <v>0</v>
      </c>
      <c r="L50" s="144" t="str">
        <f t="shared" si="7"/>
        <v>Not Required</v>
      </c>
      <c r="M50" s="145">
        <f t="shared" si="8"/>
        <v>0</v>
      </c>
      <c r="N50" s="144" t="str">
        <f t="shared" si="9"/>
        <v>Not Required</v>
      </c>
      <c r="O50" s="52" t="s">
        <v>450</v>
      </c>
    </row>
    <row r="51" spans="1:15" ht="15.75" hidden="1" customHeight="1" outlineLevel="1" x14ac:dyDescent="0.25">
      <c r="A51" s="249"/>
      <c r="B51" s="46" t="s">
        <v>16</v>
      </c>
      <c r="C51" s="23" t="s">
        <v>28</v>
      </c>
      <c r="D51" s="29" t="s">
        <v>772</v>
      </c>
      <c r="E51" s="145">
        <f t="shared" si="0"/>
        <v>0</v>
      </c>
      <c r="F51" s="144" t="str">
        <f t="shared" si="1"/>
        <v>Not Required</v>
      </c>
      <c r="G51" s="145">
        <f t="shared" si="2"/>
        <v>0</v>
      </c>
      <c r="H51" s="144" t="str">
        <f t="shared" si="3"/>
        <v>Not Required</v>
      </c>
      <c r="I51" s="145">
        <f t="shared" si="4"/>
        <v>0</v>
      </c>
      <c r="J51" s="144" t="str">
        <f t="shared" si="5"/>
        <v>Not Required</v>
      </c>
      <c r="K51" s="145">
        <f t="shared" si="6"/>
        <v>0</v>
      </c>
      <c r="L51" s="144" t="str">
        <f t="shared" si="7"/>
        <v>Not Required</v>
      </c>
      <c r="M51" s="145">
        <f t="shared" si="8"/>
        <v>0</v>
      </c>
      <c r="N51" s="144" t="str">
        <f t="shared" si="9"/>
        <v>Not Required</v>
      </c>
      <c r="O51" s="52" t="s">
        <v>451</v>
      </c>
    </row>
    <row r="52" spans="1:15" ht="15.75" hidden="1" customHeight="1" outlineLevel="1" x14ac:dyDescent="0.25">
      <c r="A52" s="249"/>
      <c r="B52" s="46" t="s">
        <v>16</v>
      </c>
      <c r="C52" s="23" t="s">
        <v>29</v>
      </c>
      <c r="D52" s="29" t="s">
        <v>772</v>
      </c>
      <c r="E52" s="145">
        <f t="shared" si="0"/>
        <v>0</v>
      </c>
      <c r="F52" s="144" t="str">
        <f t="shared" si="1"/>
        <v>Not Required</v>
      </c>
      <c r="G52" s="145">
        <f t="shared" si="2"/>
        <v>0</v>
      </c>
      <c r="H52" s="144" t="str">
        <f t="shared" si="3"/>
        <v>Not Required</v>
      </c>
      <c r="I52" s="145">
        <f t="shared" si="4"/>
        <v>0</v>
      </c>
      <c r="J52" s="144" t="str">
        <f t="shared" si="5"/>
        <v>Not Required</v>
      </c>
      <c r="K52" s="145">
        <f t="shared" si="6"/>
        <v>0</v>
      </c>
      <c r="L52" s="144" t="str">
        <f t="shared" si="7"/>
        <v>Not Required</v>
      </c>
      <c r="M52" s="145">
        <f t="shared" si="8"/>
        <v>0</v>
      </c>
      <c r="N52" s="144" t="str">
        <f t="shared" si="9"/>
        <v>Not Required</v>
      </c>
      <c r="O52" s="52" t="s">
        <v>452</v>
      </c>
    </row>
    <row r="53" spans="1:15" ht="15.75" collapsed="1" x14ac:dyDescent="0.25">
      <c r="A53" s="249"/>
      <c r="B53" s="45" t="s">
        <v>30</v>
      </c>
      <c r="C53" s="21"/>
      <c r="D53" s="109" t="s">
        <v>772</v>
      </c>
      <c r="E53" s="145" t="str">
        <f t="shared" si="0"/>
        <v/>
      </c>
      <c r="F53" s="144" t="str">
        <f t="shared" si="1"/>
        <v>Not Required</v>
      </c>
      <c r="G53" s="145" t="str">
        <f t="shared" si="2"/>
        <v/>
      </c>
      <c r="H53" s="144" t="str">
        <f t="shared" si="3"/>
        <v>Not Required</v>
      </c>
      <c r="I53" s="145" t="str">
        <f t="shared" si="4"/>
        <v/>
      </c>
      <c r="J53" s="144" t="str">
        <f t="shared" si="5"/>
        <v>Not Required</v>
      </c>
      <c r="K53" s="145" t="str">
        <f t="shared" si="6"/>
        <v/>
      </c>
      <c r="L53" s="144" t="str">
        <f t="shared" si="7"/>
        <v>Not Required</v>
      </c>
      <c r="M53" s="145" t="str">
        <f t="shared" si="8"/>
        <v/>
      </c>
      <c r="N53" s="144" t="str">
        <f t="shared" si="9"/>
        <v>Not Required</v>
      </c>
      <c r="O53" s="52"/>
    </row>
    <row r="54" spans="1:15" ht="15.75" hidden="1" customHeight="1" outlineLevel="1" x14ac:dyDescent="0.25">
      <c r="A54" s="249"/>
      <c r="B54" s="46" t="s">
        <v>30</v>
      </c>
      <c r="C54" s="23" t="s">
        <v>31</v>
      </c>
      <c r="D54" s="29" t="s">
        <v>772</v>
      </c>
      <c r="E54" s="145">
        <f t="shared" si="0"/>
        <v>0</v>
      </c>
      <c r="F54" s="144" t="str">
        <f t="shared" si="1"/>
        <v>Not Required</v>
      </c>
      <c r="G54" s="145">
        <f t="shared" si="2"/>
        <v>2</v>
      </c>
      <c r="H54" s="144" t="str">
        <f t="shared" si="3"/>
        <v>Not Required</v>
      </c>
      <c r="I54" s="145">
        <f t="shared" si="4"/>
        <v>0</v>
      </c>
      <c r="J54" s="144" t="str">
        <f t="shared" si="5"/>
        <v>Not Required</v>
      </c>
      <c r="K54" s="145">
        <f t="shared" si="6"/>
        <v>0</v>
      </c>
      <c r="L54" s="144" t="str">
        <f t="shared" si="7"/>
        <v>Not Required</v>
      </c>
      <c r="M54" s="145">
        <f t="shared" si="8"/>
        <v>0</v>
      </c>
      <c r="N54" s="144" t="str">
        <f t="shared" si="9"/>
        <v>Not Required</v>
      </c>
      <c r="O54" s="52"/>
    </row>
    <row r="55" spans="1:15" ht="15.75" hidden="1" customHeight="1" outlineLevel="1" x14ac:dyDescent="0.25">
      <c r="A55" s="249"/>
      <c r="B55" s="46" t="s">
        <v>30</v>
      </c>
      <c r="C55" s="23" t="s">
        <v>33</v>
      </c>
      <c r="D55" s="29" t="s">
        <v>772</v>
      </c>
      <c r="E55" s="145">
        <f t="shared" si="0"/>
        <v>0</v>
      </c>
      <c r="F55" s="144" t="str">
        <f t="shared" si="1"/>
        <v>Not Required</v>
      </c>
      <c r="G55" s="145">
        <f t="shared" si="2"/>
        <v>0</v>
      </c>
      <c r="H55" s="144" t="str">
        <f t="shared" si="3"/>
        <v>Not Required</v>
      </c>
      <c r="I55" s="145">
        <f t="shared" si="4"/>
        <v>0</v>
      </c>
      <c r="J55" s="144" t="str">
        <f t="shared" si="5"/>
        <v>Not Required</v>
      </c>
      <c r="K55" s="145">
        <f t="shared" si="6"/>
        <v>0</v>
      </c>
      <c r="L55" s="144" t="str">
        <f t="shared" si="7"/>
        <v>Not Required</v>
      </c>
      <c r="M55" s="145">
        <f t="shared" si="8"/>
        <v>0</v>
      </c>
      <c r="N55" s="144" t="str">
        <f t="shared" si="9"/>
        <v>Not Required</v>
      </c>
      <c r="O55" s="52" t="s">
        <v>453</v>
      </c>
    </row>
    <row r="56" spans="1:15" ht="15.75" hidden="1" customHeight="1" outlineLevel="1" x14ac:dyDescent="0.25">
      <c r="A56" s="249"/>
      <c r="B56" s="46" t="s">
        <v>30</v>
      </c>
      <c r="C56" s="23" t="s">
        <v>34</v>
      </c>
      <c r="D56" s="29" t="s">
        <v>772</v>
      </c>
      <c r="E56" s="145">
        <f t="shared" si="0"/>
        <v>0</v>
      </c>
      <c r="F56" s="144" t="str">
        <f t="shared" si="1"/>
        <v>Not Required</v>
      </c>
      <c r="G56" s="145">
        <f t="shared" si="2"/>
        <v>0</v>
      </c>
      <c r="H56" s="144" t="str">
        <f t="shared" si="3"/>
        <v>Not Required</v>
      </c>
      <c r="I56" s="145">
        <f t="shared" si="4"/>
        <v>0</v>
      </c>
      <c r="J56" s="144" t="str">
        <f t="shared" si="5"/>
        <v>Not Required</v>
      </c>
      <c r="K56" s="145">
        <f t="shared" si="6"/>
        <v>0</v>
      </c>
      <c r="L56" s="144" t="str">
        <f t="shared" si="7"/>
        <v>Not Required</v>
      </c>
      <c r="M56" s="145">
        <f t="shared" si="8"/>
        <v>0</v>
      </c>
      <c r="N56" s="144" t="str">
        <f t="shared" si="9"/>
        <v>Not Required</v>
      </c>
      <c r="O56" s="52" t="s">
        <v>454</v>
      </c>
    </row>
    <row r="57" spans="1:15" ht="15.75" hidden="1" customHeight="1" outlineLevel="1" x14ac:dyDescent="0.25">
      <c r="A57" s="249"/>
      <c r="B57" s="46" t="s">
        <v>30</v>
      </c>
      <c r="C57" s="23" t="s">
        <v>36</v>
      </c>
      <c r="D57" s="29" t="s">
        <v>772</v>
      </c>
      <c r="E57" s="145">
        <f t="shared" si="0"/>
        <v>0</v>
      </c>
      <c r="F57" s="144" t="str">
        <f t="shared" si="1"/>
        <v>Not Required</v>
      </c>
      <c r="G57" s="145">
        <f t="shared" si="2"/>
        <v>0</v>
      </c>
      <c r="H57" s="144" t="str">
        <f t="shared" si="3"/>
        <v>Not Required</v>
      </c>
      <c r="I57" s="145">
        <f t="shared" si="4"/>
        <v>0</v>
      </c>
      <c r="J57" s="144" t="str">
        <f t="shared" si="5"/>
        <v>Not Required</v>
      </c>
      <c r="K57" s="145">
        <f t="shared" si="6"/>
        <v>0</v>
      </c>
      <c r="L57" s="144" t="str">
        <f t="shared" si="7"/>
        <v>Not Required</v>
      </c>
      <c r="M57" s="145">
        <f t="shared" si="8"/>
        <v>0</v>
      </c>
      <c r="N57" s="144" t="str">
        <f t="shared" si="9"/>
        <v>Not Required</v>
      </c>
      <c r="O57" s="52" t="s">
        <v>455</v>
      </c>
    </row>
    <row r="58" spans="1:15" ht="15.75" hidden="1" customHeight="1" outlineLevel="1" x14ac:dyDescent="0.25">
      <c r="A58" s="249"/>
      <c r="B58" s="46" t="s">
        <v>30</v>
      </c>
      <c r="C58" s="23" t="s">
        <v>37</v>
      </c>
      <c r="D58" s="29" t="s">
        <v>772</v>
      </c>
      <c r="E58" s="145">
        <f t="shared" si="0"/>
        <v>0</v>
      </c>
      <c r="F58" s="144" t="str">
        <f t="shared" si="1"/>
        <v>Not Required</v>
      </c>
      <c r="G58" s="145">
        <f t="shared" si="2"/>
        <v>0</v>
      </c>
      <c r="H58" s="144" t="str">
        <f t="shared" si="3"/>
        <v>Not Required</v>
      </c>
      <c r="I58" s="145">
        <f t="shared" si="4"/>
        <v>0</v>
      </c>
      <c r="J58" s="144" t="str">
        <f t="shared" si="5"/>
        <v>Not Required</v>
      </c>
      <c r="K58" s="145">
        <f t="shared" si="6"/>
        <v>0</v>
      </c>
      <c r="L58" s="144" t="str">
        <f t="shared" si="7"/>
        <v>Not Required</v>
      </c>
      <c r="M58" s="145">
        <f t="shared" si="8"/>
        <v>0</v>
      </c>
      <c r="N58" s="144" t="str">
        <f t="shared" si="9"/>
        <v>Not Required</v>
      </c>
      <c r="O58" s="52" t="s">
        <v>456</v>
      </c>
    </row>
    <row r="59" spans="1:15" ht="15.75" hidden="1" customHeight="1" outlineLevel="1" x14ac:dyDescent="0.25">
      <c r="A59" s="249"/>
      <c r="B59" s="46" t="s">
        <v>30</v>
      </c>
      <c r="C59" s="23" t="s">
        <v>38</v>
      </c>
      <c r="D59" s="29" t="s">
        <v>772</v>
      </c>
      <c r="E59" s="145">
        <f t="shared" si="0"/>
        <v>0</v>
      </c>
      <c r="F59" s="144" t="str">
        <f t="shared" si="1"/>
        <v>Not Required</v>
      </c>
      <c r="G59" s="145">
        <f t="shared" si="2"/>
        <v>0</v>
      </c>
      <c r="H59" s="144" t="str">
        <f t="shared" si="3"/>
        <v>Not Required</v>
      </c>
      <c r="I59" s="145">
        <f t="shared" si="4"/>
        <v>0</v>
      </c>
      <c r="J59" s="144" t="str">
        <f t="shared" si="5"/>
        <v>Not Required</v>
      </c>
      <c r="K59" s="145">
        <f t="shared" si="6"/>
        <v>0</v>
      </c>
      <c r="L59" s="144" t="str">
        <f t="shared" si="7"/>
        <v>Not Required</v>
      </c>
      <c r="M59" s="145">
        <f t="shared" si="8"/>
        <v>0</v>
      </c>
      <c r="N59" s="144" t="str">
        <f t="shared" si="9"/>
        <v>Not Required</v>
      </c>
      <c r="O59" s="52" t="s">
        <v>457</v>
      </c>
    </row>
    <row r="60" spans="1:15" ht="15.75" hidden="1" customHeight="1" outlineLevel="1" x14ac:dyDescent="0.25">
      <c r="A60" s="249"/>
      <c r="B60" s="46" t="s">
        <v>30</v>
      </c>
      <c r="C60" s="23" t="s">
        <v>35</v>
      </c>
      <c r="D60" s="29" t="s">
        <v>772</v>
      </c>
      <c r="E60" s="145">
        <f t="shared" si="0"/>
        <v>0</v>
      </c>
      <c r="F60" s="144" t="str">
        <f t="shared" si="1"/>
        <v>Not Required</v>
      </c>
      <c r="G60" s="145">
        <f t="shared" si="2"/>
        <v>2</v>
      </c>
      <c r="H60" s="144" t="str">
        <f t="shared" si="3"/>
        <v>Not Required</v>
      </c>
      <c r="I60" s="145">
        <f t="shared" si="4"/>
        <v>0</v>
      </c>
      <c r="J60" s="144" t="str">
        <f t="shared" si="5"/>
        <v>Not Required</v>
      </c>
      <c r="K60" s="145">
        <f t="shared" si="6"/>
        <v>0</v>
      </c>
      <c r="L60" s="144" t="str">
        <f t="shared" si="7"/>
        <v>Not Required</v>
      </c>
      <c r="M60" s="145">
        <f t="shared" si="8"/>
        <v>0</v>
      </c>
      <c r="N60" s="144" t="str">
        <f t="shared" si="9"/>
        <v>Not Required</v>
      </c>
      <c r="O60" s="52" t="s">
        <v>458</v>
      </c>
    </row>
    <row r="61" spans="1:15" ht="15.75" hidden="1" customHeight="1" outlineLevel="1" x14ac:dyDescent="0.25">
      <c r="A61" s="249"/>
      <c r="B61" s="46" t="s">
        <v>30</v>
      </c>
      <c r="C61" s="23" t="s">
        <v>32</v>
      </c>
      <c r="D61" s="29" t="s">
        <v>772</v>
      </c>
      <c r="E61" s="145">
        <f t="shared" si="0"/>
        <v>0</v>
      </c>
      <c r="F61" s="144" t="str">
        <f t="shared" si="1"/>
        <v>Not Required</v>
      </c>
      <c r="G61" s="145">
        <f t="shared" si="2"/>
        <v>2</v>
      </c>
      <c r="H61" s="144" t="str">
        <f t="shared" si="3"/>
        <v>Not Required</v>
      </c>
      <c r="I61" s="145">
        <f t="shared" si="4"/>
        <v>0</v>
      </c>
      <c r="J61" s="144" t="str">
        <f t="shared" si="5"/>
        <v>Not Required</v>
      </c>
      <c r="K61" s="145">
        <f t="shared" si="6"/>
        <v>0</v>
      </c>
      <c r="L61" s="144" t="str">
        <f t="shared" si="7"/>
        <v>Not Required</v>
      </c>
      <c r="M61" s="145">
        <f t="shared" si="8"/>
        <v>0</v>
      </c>
      <c r="N61" s="144" t="str">
        <f t="shared" si="9"/>
        <v>Not Required</v>
      </c>
      <c r="O61" s="52" t="s">
        <v>459</v>
      </c>
    </row>
    <row r="62" spans="1:15" ht="15.75" hidden="1" customHeight="1" outlineLevel="1" x14ac:dyDescent="0.25">
      <c r="A62" s="249"/>
      <c r="B62" s="46" t="s">
        <v>30</v>
      </c>
      <c r="C62" s="23" t="s">
        <v>39</v>
      </c>
      <c r="D62" s="29" t="s">
        <v>772</v>
      </c>
      <c r="E62" s="145">
        <f t="shared" si="0"/>
        <v>0</v>
      </c>
      <c r="F62" s="144" t="str">
        <f t="shared" si="1"/>
        <v>Not Required</v>
      </c>
      <c r="G62" s="145">
        <f t="shared" si="2"/>
        <v>2</v>
      </c>
      <c r="H62" s="144" t="str">
        <f t="shared" si="3"/>
        <v>Not Required</v>
      </c>
      <c r="I62" s="145">
        <f t="shared" si="4"/>
        <v>0</v>
      </c>
      <c r="J62" s="144" t="str">
        <f t="shared" si="5"/>
        <v>Not Required</v>
      </c>
      <c r="K62" s="145">
        <f t="shared" si="6"/>
        <v>0</v>
      </c>
      <c r="L62" s="144" t="str">
        <f t="shared" si="7"/>
        <v>Not Required</v>
      </c>
      <c r="M62" s="145">
        <f t="shared" si="8"/>
        <v>0</v>
      </c>
      <c r="N62" s="144" t="str">
        <f t="shared" si="9"/>
        <v>Not Required</v>
      </c>
      <c r="O62" s="52" t="s">
        <v>460</v>
      </c>
    </row>
    <row r="63" spans="1:15" ht="15.75" collapsed="1" x14ac:dyDescent="0.25">
      <c r="A63" s="249"/>
      <c r="B63" s="45" t="s">
        <v>40</v>
      </c>
      <c r="C63" s="21"/>
      <c r="D63" s="109" t="s">
        <v>772</v>
      </c>
      <c r="E63" s="145" t="str">
        <f t="shared" si="0"/>
        <v/>
      </c>
      <c r="F63" s="144" t="str">
        <f t="shared" si="1"/>
        <v>Not Required</v>
      </c>
      <c r="G63" s="145" t="str">
        <f t="shared" si="2"/>
        <v/>
      </c>
      <c r="H63" s="144" t="str">
        <f t="shared" si="3"/>
        <v>Not Required</v>
      </c>
      <c r="I63" s="145" t="str">
        <f t="shared" si="4"/>
        <v/>
      </c>
      <c r="J63" s="144" t="str">
        <f t="shared" si="5"/>
        <v>Not Required</v>
      </c>
      <c r="K63" s="145" t="str">
        <f t="shared" si="6"/>
        <v/>
      </c>
      <c r="L63" s="144" t="str">
        <f t="shared" si="7"/>
        <v>Not Required</v>
      </c>
      <c r="M63" s="145" t="str">
        <f t="shared" si="8"/>
        <v/>
      </c>
      <c r="N63" s="144" t="str">
        <f t="shared" si="9"/>
        <v>Not Required</v>
      </c>
      <c r="O63" s="52"/>
    </row>
    <row r="64" spans="1:15" ht="15.75" hidden="1" customHeight="1" outlineLevel="1" x14ac:dyDescent="0.25">
      <c r="A64" s="249"/>
      <c r="B64" s="46" t="s">
        <v>40</v>
      </c>
      <c r="C64" s="23" t="s">
        <v>41</v>
      </c>
      <c r="D64" s="29" t="s">
        <v>772</v>
      </c>
      <c r="E64" s="145">
        <f t="shared" si="0"/>
        <v>2</v>
      </c>
      <c r="F64" s="144" t="str">
        <f t="shared" si="1"/>
        <v>Not Required</v>
      </c>
      <c r="G64" s="145">
        <f t="shared" si="2"/>
        <v>2</v>
      </c>
      <c r="H64" s="144" t="str">
        <f t="shared" si="3"/>
        <v>Not Required</v>
      </c>
      <c r="I64" s="145">
        <f t="shared" si="4"/>
        <v>2</v>
      </c>
      <c r="J64" s="144" t="str">
        <f t="shared" si="5"/>
        <v>Not Required</v>
      </c>
      <c r="K64" s="145">
        <f t="shared" si="6"/>
        <v>2</v>
      </c>
      <c r="L64" s="144" t="str">
        <f t="shared" si="7"/>
        <v>Not Required</v>
      </c>
      <c r="M64" s="145">
        <f t="shared" si="8"/>
        <v>2</v>
      </c>
      <c r="N64" s="144" t="str">
        <f t="shared" si="9"/>
        <v>Not Required</v>
      </c>
      <c r="O64" s="52" t="s">
        <v>461</v>
      </c>
    </row>
    <row r="65" spans="1:15" ht="15.75" hidden="1" customHeight="1" outlineLevel="1" x14ac:dyDescent="0.25">
      <c r="A65" s="249"/>
      <c r="B65" s="46" t="s">
        <v>40</v>
      </c>
      <c r="C65" s="23" t="s">
        <v>42</v>
      </c>
      <c r="D65" s="29" t="s">
        <v>772</v>
      </c>
      <c r="E65" s="145">
        <f t="shared" si="0"/>
        <v>0</v>
      </c>
      <c r="F65" s="144" t="str">
        <f t="shared" si="1"/>
        <v>Not Required</v>
      </c>
      <c r="G65" s="145">
        <f t="shared" si="2"/>
        <v>2</v>
      </c>
      <c r="H65" s="144" t="str">
        <f t="shared" si="3"/>
        <v>Not Required</v>
      </c>
      <c r="I65" s="145">
        <f t="shared" si="4"/>
        <v>0</v>
      </c>
      <c r="J65" s="144" t="str">
        <f t="shared" si="5"/>
        <v>Not Required</v>
      </c>
      <c r="K65" s="145">
        <f t="shared" si="6"/>
        <v>0</v>
      </c>
      <c r="L65" s="144" t="str">
        <f t="shared" si="7"/>
        <v>Not Required</v>
      </c>
      <c r="M65" s="145">
        <f t="shared" si="8"/>
        <v>0</v>
      </c>
      <c r="N65" s="144" t="str">
        <f t="shared" si="9"/>
        <v>Not Required</v>
      </c>
      <c r="O65" s="52" t="s">
        <v>462</v>
      </c>
    </row>
    <row r="66" spans="1:15" ht="15.75" hidden="1" customHeight="1" outlineLevel="1" x14ac:dyDescent="0.25">
      <c r="A66" s="249"/>
      <c r="B66" s="46" t="s">
        <v>40</v>
      </c>
      <c r="C66" s="23" t="s">
        <v>43</v>
      </c>
      <c r="D66" s="29" t="s">
        <v>772</v>
      </c>
      <c r="E66" s="145">
        <f t="shared" si="0"/>
        <v>0</v>
      </c>
      <c r="F66" s="144" t="str">
        <f t="shared" si="1"/>
        <v>Not Required</v>
      </c>
      <c r="G66" s="145">
        <f t="shared" si="2"/>
        <v>0</v>
      </c>
      <c r="H66" s="144" t="str">
        <f t="shared" si="3"/>
        <v>Not Required</v>
      </c>
      <c r="I66" s="145">
        <f t="shared" si="4"/>
        <v>0</v>
      </c>
      <c r="J66" s="144" t="str">
        <f t="shared" si="5"/>
        <v>Not Required</v>
      </c>
      <c r="K66" s="145">
        <f t="shared" si="6"/>
        <v>0</v>
      </c>
      <c r="L66" s="144" t="str">
        <f t="shared" si="7"/>
        <v>Not Required</v>
      </c>
      <c r="M66" s="145">
        <f t="shared" si="8"/>
        <v>0</v>
      </c>
      <c r="N66" s="144" t="str">
        <f t="shared" si="9"/>
        <v>Not Required</v>
      </c>
      <c r="O66" s="52" t="s">
        <v>463</v>
      </c>
    </row>
    <row r="67" spans="1:15" ht="15.75" hidden="1" customHeight="1" outlineLevel="1" x14ac:dyDescent="0.25">
      <c r="A67" s="249"/>
      <c r="B67" s="46" t="s">
        <v>40</v>
      </c>
      <c r="C67" s="23" t="s">
        <v>44</v>
      </c>
      <c r="D67" s="29" t="s">
        <v>772</v>
      </c>
      <c r="E67" s="145">
        <f t="shared" si="0"/>
        <v>0</v>
      </c>
      <c r="F67" s="144" t="str">
        <f t="shared" si="1"/>
        <v>Not Required</v>
      </c>
      <c r="G67" s="145">
        <f t="shared" si="2"/>
        <v>0</v>
      </c>
      <c r="H67" s="144" t="str">
        <f t="shared" si="3"/>
        <v>Not Required</v>
      </c>
      <c r="I67" s="145">
        <f t="shared" si="4"/>
        <v>0</v>
      </c>
      <c r="J67" s="144" t="str">
        <f t="shared" si="5"/>
        <v>Not Required</v>
      </c>
      <c r="K67" s="145">
        <f t="shared" si="6"/>
        <v>0</v>
      </c>
      <c r="L67" s="144" t="str">
        <f t="shared" si="7"/>
        <v>Not Required</v>
      </c>
      <c r="M67" s="145">
        <f t="shared" si="8"/>
        <v>0</v>
      </c>
      <c r="N67" s="144" t="str">
        <f t="shared" si="9"/>
        <v>Not Required</v>
      </c>
      <c r="O67" s="52" t="s">
        <v>464</v>
      </c>
    </row>
    <row r="68" spans="1:15" ht="15" hidden="1" customHeight="1" outlineLevel="1" x14ac:dyDescent="0.25">
      <c r="A68" s="249"/>
      <c r="B68" s="46" t="s">
        <v>40</v>
      </c>
      <c r="C68" s="23" t="s">
        <v>466</v>
      </c>
      <c r="D68" s="29" t="s">
        <v>772</v>
      </c>
      <c r="E68" s="145">
        <f t="shared" si="0"/>
        <v>0</v>
      </c>
      <c r="F68" s="144" t="str">
        <f t="shared" si="1"/>
        <v>Not Required</v>
      </c>
      <c r="G68" s="145">
        <f t="shared" si="2"/>
        <v>2</v>
      </c>
      <c r="H68" s="144" t="str">
        <f t="shared" si="3"/>
        <v>Not Required</v>
      </c>
      <c r="I68" s="145">
        <f t="shared" si="4"/>
        <v>0</v>
      </c>
      <c r="J68" s="144" t="str">
        <f t="shared" si="5"/>
        <v>Not Required</v>
      </c>
      <c r="K68" s="145">
        <f t="shared" si="6"/>
        <v>0</v>
      </c>
      <c r="L68" s="144" t="str">
        <f t="shared" si="7"/>
        <v>Not Required</v>
      </c>
      <c r="M68" s="145">
        <f t="shared" si="8"/>
        <v>0</v>
      </c>
      <c r="N68" s="144" t="str">
        <f t="shared" si="9"/>
        <v>Not Required</v>
      </c>
      <c r="O68" s="52" t="s">
        <v>465</v>
      </c>
    </row>
    <row r="69" spans="1:15" ht="15.75" hidden="1" customHeight="1" outlineLevel="1" x14ac:dyDescent="0.25">
      <c r="A69" s="250"/>
      <c r="B69" s="49" t="s">
        <v>40</v>
      </c>
      <c r="C69" s="50" t="s">
        <v>298</v>
      </c>
      <c r="D69" s="29" t="s">
        <v>772</v>
      </c>
      <c r="E69" s="145">
        <f t="shared" si="0"/>
        <v>2</v>
      </c>
      <c r="F69" s="144" t="str">
        <f t="shared" si="1"/>
        <v>Not Required</v>
      </c>
      <c r="G69" s="145">
        <f t="shared" si="2"/>
        <v>2</v>
      </c>
      <c r="H69" s="144" t="str">
        <f t="shared" si="3"/>
        <v>Not Required</v>
      </c>
      <c r="I69" s="145">
        <f t="shared" si="4"/>
        <v>2</v>
      </c>
      <c r="J69" s="144" t="str">
        <f t="shared" si="5"/>
        <v>Not Required</v>
      </c>
      <c r="K69" s="145">
        <f t="shared" si="6"/>
        <v>2</v>
      </c>
      <c r="L69" s="144" t="str">
        <f t="shared" si="7"/>
        <v>Not Required</v>
      </c>
      <c r="M69" s="145">
        <f t="shared" si="8"/>
        <v>2</v>
      </c>
      <c r="N69" s="144" t="str">
        <f t="shared" si="9"/>
        <v>Not Required</v>
      </c>
      <c r="O69" s="52" t="s">
        <v>467</v>
      </c>
    </row>
    <row r="70" spans="1:15" ht="15.75" collapsed="1" x14ac:dyDescent="0.25">
      <c r="A70" s="248" t="s">
        <v>75</v>
      </c>
      <c r="B70" s="47" t="s">
        <v>297</v>
      </c>
      <c r="C70" s="48"/>
      <c r="D70" s="110" t="s">
        <v>772</v>
      </c>
      <c r="E70" s="145" t="str">
        <f t="shared" si="0"/>
        <v/>
      </c>
      <c r="F70" s="144" t="str">
        <f t="shared" si="1"/>
        <v>Not Required</v>
      </c>
      <c r="G70" s="145" t="str">
        <f t="shared" si="2"/>
        <v/>
      </c>
      <c r="H70" s="144" t="str">
        <f t="shared" si="3"/>
        <v>Not Required</v>
      </c>
      <c r="I70" s="145" t="str">
        <f t="shared" si="4"/>
        <v/>
      </c>
      <c r="J70" s="144" t="str">
        <f t="shared" si="5"/>
        <v>Not Required</v>
      </c>
      <c r="K70" s="145" t="str">
        <f t="shared" si="6"/>
        <v/>
      </c>
      <c r="L70" s="144" t="str">
        <f t="shared" si="7"/>
        <v>Not Required</v>
      </c>
      <c r="M70" s="145" t="str">
        <f t="shared" si="8"/>
        <v/>
      </c>
      <c r="N70" s="144" t="str">
        <f t="shared" si="9"/>
        <v>Not Required</v>
      </c>
      <c r="O70" s="52"/>
    </row>
    <row r="71" spans="1:15" ht="15.75" hidden="1" customHeight="1" outlineLevel="1" x14ac:dyDescent="0.25">
      <c r="A71" s="249"/>
      <c r="B71" s="46" t="s">
        <v>297</v>
      </c>
      <c r="C71" s="23" t="s">
        <v>260</v>
      </c>
      <c r="D71" s="29" t="s">
        <v>772</v>
      </c>
      <c r="E71" s="145">
        <f t="shared" si="0"/>
        <v>1</v>
      </c>
      <c r="F71" s="144" t="str">
        <f t="shared" si="1"/>
        <v>Not Required</v>
      </c>
      <c r="G71" s="145">
        <f t="shared" si="2"/>
        <v>3</v>
      </c>
      <c r="H71" s="144" t="str">
        <f t="shared" si="3"/>
        <v>Not Required</v>
      </c>
      <c r="I71" s="145">
        <f t="shared" si="4"/>
        <v>1</v>
      </c>
      <c r="J71" s="144" t="str">
        <f t="shared" si="5"/>
        <v>Not Required</v>
      </c>
      <c r="K71" s="145">
        <f t="shared" si="6"/>
        <v>1</v>
      </c>
      <c r="L71" s="144" t="str">
        <f t="shared" si="7"/>
        <v>Not Required</v>
      </c>
      <c r="M71" s="145">
        <f t="shared" si="8"/>
        <v>1</v>
      </c>
      <c r="N71" s="144" t="str">
        <f t="shared" si="9"/>
        <v>Not Required</v>
      </c>
      <c r="O71" s="52" t="s">
        <v>468</v>
      </c>
    </row>
    <row r="72" spans="1:15" ht="15.75" hidden="1" customHeight="1" outlineLevel="1" x14ac:dyDescent="0.25">
      <c r="A72" s="249"/>
      <c r="B72" s="46" t="s">
        <v>297</v>
      </c>
      <c r="C72" s="23" t="s">
        <v>470</v>
      </c>
      <c r="D72" s="29" t="s">
        <v>772</v>
      </c>
      <c r="E72" s="145">
        <f t="shared" ref="E72:E135" si="10">IF($C72&lt;&gt;"",VLOOKUP($C72,Skills_DB,MATCH(F$5&amp;E$3,SkillRoles,0),0),"")</f>
        <v>0</v>
      </c>
      <c r="F72" s="144" t="str">
        <f t="shared" ref="F72:F135" si="11">$D72</f>
        <v>Not Required</v>
      </c>
      <c r="G72" s="145">
        <f t="shared" ref="G72:G135" si="12">IF($C72&lt;&gt;"",VLOOKUP($C72,Skills_DB,MATCH(H$5&amp;G$3,SkillRoles,0),0),"")</f>
        <v>3</v>
      </c>
      <c r="H72" s="144" t="str">
        <f t="shared" ref="H72:H135" si="13">$D72</f>
        <v>Not Required</v>
      </c>
      <c r="I72" s="145">
        <f t="shared" ref="I72:I135" si="14">IF($C72&lt;&gt;"",VLOOKUP($C72,Skills_DB,MATCH(J$5&amp;I$3,SkillRoles,0),0),"")</f>
        <v>0</v>
      </c>
      <c r="J72" s="144" t="str">
        <f t="shared" ref="J72:J135" si="15">$D72</f>
        <v>Not Required</v>
      </c>
      <c r="K72" s="145">
        <f t="shared" ref="K72:K135" si="16">IF($C72&lt;&gt;"",VLOOKUP($C72,Skills_DB,MATCH(L$5&amp;K$3,SkillRoles,0),0),"")</f>
        <v>0</v>
      </c>
      <c r="L72" s="144" t="str">
        <f t="shared" ref="L72:L135" si="17">$D72</f>
        <v>Not Required</v>
      </c>
      <c r="M72" s="145">
        <f t="shared" ref="M72:M135" si="18">IF($C72&lt;&gt;"",VLOOKUP($C72,Skills_DB,MATCH(N$5&amp;M$3,SkillRoles,0),0),"")</f>
        <v>0</v>
      </c>
      <c r="N72" s="144" t="str">
        <f t="shared" ref="N72:N135" si="19">$D72</f>
        <v>Not Required</v>
      </c>
      <c r="O72" s="52" t="s">
        <v>469</v>
      </c>
    </row>
    <row r="73" spans="1:15" ht="15.75" hidden="1" customHeight="1" outlineLevel="1" x14ac:dyDescent="0.25">
      <c r="A73" s="249"/>
      <c r="B73" s="46" t="s">
        <v>297</v>
      </c>
      <c r="C73" s="23" t="s">
        <v>45</v>
      </c>
      <c r="D73" s="29" t="s">
        <v>772</v>
      </c>
      <c r="E73" s="145">
        <f t="shared" si="10"/>
        <v>1</v>
      </c>
      <c r="F73" s="144" t="str">
        <f t="shared" si="11"/>
        <v>Not Required</v>
      </c>
      <c r="G73" s="145">
        <f t="shared" si="12"/>
        <v>3</v>
      </c>
      <c r="H73" s="144" t="str">
        <f t="shared" si="13"/>
        <v>Not Required</v>
      </c>
      <c r="I73" s="145">
        <f t="shared" si="14"/>
        <v>1</v>
      </c>
      <c r="J73" s="144" t="str">
        <f t="shared" si="15"/>
        <v>Not Required</v>
      </c>
      <c r="K73" s="145">
        <f t="shared" si="16"/>
        <v>1</v>
      </c>
      <c r="L73" s="144" t="str">
        <f t="shared" si="17"/>
        <v>Not Required</v>
      </c>
      <c r="M73" s="145">
        <f t="shared" si="18"/>
        <v>1</v>
      </c>
      <c r="N73" s="144" t="str">
        <f t="shared" si="19"/>
        <v>Not Required</v>
      </c>
      <c r="O73" s="52" t="s">
        <v>471</v>
      </c>
    </row>
    <row r="74" spans="1:15" ht="15.75" hidden="1" customHeight="1" outlineLevel="1" x14ac:dyDescent="0.25">
      <c r="A74" s="249"/>
      <c r="B74" s="46" t="s">
        <v>297</v>
      </c>
      <c r="C74" s="23" t="s">
        <v>46</v>
      </c>
      <c r="D74" s="29" t="s">
        <v>772</v>
      </c>
      <c r="E74" s="145">
        <f t="shared" si="10"/>
        <v>1</v>
      </c>
      <c r="F74" s="144" t="str">
        <f t="shared" si="11"/>
        <v>Not Required</v>
      </c>
      <c r="G74" s="145">
        <f t="shared" si="12"/>
        <v>3</v>
      </c>
      <c r="H74" s="144" t="str">
        <f t="shared" si="13"/>
        <v>Not Required</v>
      </c>
      <c r="I74" s="145">
        <f t="shared" si="14"/>
        <v>1</v>
      </c>
      <c r="J74" s="144" t="str">
        <f t="shared" si="15"/>
        <v>Not Required</v>
      </c>
      <c r="K74" s="145">
        <f t="shared" si="16"/>
        <v>1</v>
      </c>
      <c r="L74" s="144" t="str">
        <f t="shared" si="17"/>
        <v>Not Required</v>
      </c>
      <c r="M74" s="145">
        <f t="shared" si="18"/>
        <v>1</v>
      </c>
      <c r="N74" s="144" t="str">
        <f t="shared" si="19"/>
        <v>Not Required</v>
      </c>
      <c r="O74" s="52" t="s">
        <v>472</v>
      </c>
    </row>
    <row r="75" spans="1:15" ht="15.75" hidden="1" customHeight="1" outlineLevel="1" x14ac:dyDescent="0.25">
      <c r="A75" s="249"/>
      <c r="B75" s="46" t="s">
        <v>297</v>
      </c>
      <c r="C75" s="23" t="s">
        <v>47</v>
      </c>
      <c r="D75" s="29" t="s">
        <v>772</v>
      </c>
      <c r="E75" s="145">
        <f t="shared" si="10"/>
        <v>1</v>
      </c>
      <c r="F75" s="144" t="str">
        <f t="shared" si="11"/>
        <v>Not Required</v>
      </c>
      <c r="G75" s="145">
        <f t="shared" si="12"/>
        <v>3</v>
      </c>
      <c r="H75" s="144" t="str">
        <f t="shared" si="13"/>
        <v>Not Required</v>
      </c>
      <c r="I75" s="145">
        <f t="shared" si="14"/>
        <v>1</v>
      </c>
      <c r="J75" s="144" t="str">
        <f t="shared" si="15"/>
        <v>Not Required</v>
      </c>
      <c r="K75" s="145">
        <f t="shared" si="16"/>
        <v>1</v>
      </c>
      <c r="L75" s="144" t="str">
        <f t="shared" si="17"/>
        <v>Not Required</v>
      </c>
      <c r="M75" s="145">
        <f t="shared" si="18"/>
        <v>1</v>
      </c>
      <c r="N75" s="144" t="str">
        <f t="shared" si="19"/>
        <v>Not Required</v>
      </c>
      <c r="O75" s="52" t="s">
        <v>473</v>
      </c>
    </row>
    <row r="76" spans="1:15" ht="15.75" hidden="1" customHeight="1" outlineLevel="1" x14ac:dyDescent="0.25">
      <c r="A76" s="249"/>
      <c r="B76" s="46" t="s">
        <v>297</v>
      </c>
      <c r="C76" s="23" t="s">
        <v>48</v>
      </c>
      <c r="D76" s="29" t="s">
        <v>772</v>
      </c>
      <c r="E76" s="145">
        <f t="shared" si="10"/>
        <v>1</v>
      </c>
      <c r="F76" s="144" t="str">
        <f t="shared" si="11"/>
        <v>Not Required</v>
      </c>
      <c r="G76" s="145">
        <f t="shared" si="12"/>
        <v>3</v>
      </c>
      <c r="H76" s="144" t="str">
        <f t="shared" si="13"/>
        <v>Not Required</v>
      </c>
      <c r="I76" s="145">
        <f t="shared" si="14"/>
        <v>1</v>
      </c>
      <c r="J76" s="144" t="str">
        <f t="shared" si="15"/>
        <v>Not Required</v>
      </c>
      <c r="K76" s="145">
        <f t="shared" si="16"/>
        <v>1</v>
      </c>
      <c r="L76" s="144" t="str">
        <f t="shared" si="17"/>
        <v>Not Required</v>
      </c>
      <c r="M76" s="145">
        <f t="shared" si="18"/>
        <v>1</v>
      </c>
      <c r="N76" s="144" t="str">
        <f t="shared" si="19"/>
        <v>Not Required</v>
      </c>
      <c r="O76" s="52" t="s">
        <v>474</v>
      </c>
    </row>
    <row r="77" spans="1:15" ht="15.75" hidden="1" customHeight="1" outlineLevel="1" x14ac:dyDescent="0.25">
      <c r="A77" s="249"/>
      <c r="B77" s="46" t="s">
        <v>297</v>
      </c>
      <c r="C77" s="23" t="s">
        <v>261</v>
      </c>
      <c r="D77" s="29" t="s">
        <v>772</v>
      </c>
      <c r="E77" s="145">
        <f t="shared" si="10"/>
        <v>0</v>
      </c>
      <c r="F77" s="144" t="str">
        <f t="shared" si="11"/>
        <v>Not Required</v>
      </c>
      <c r="G77" s="145">
        <f t="shared" si="12"/>
        <v>3</v>
      </c>
      <c r="H77" s="144" t="str">
        <f t="shared" si="13"/>
        <v>Not Required</v>
      </c>
      <c r="I77" s="145">
        <f t="shared" si="14"/>
        <v>0</v>
      </c>
      <c r="J77" s="144" t="str">
        <f t="shared" si="15"/>
        <v>Not Required</v>
      </c>
      <c r="K77" s="145">
        <f t="shared" si="16"/>
        <v>0</v>
      </c>
      <c r="L77" s="144" t="str">
        <f t="shared" si="17"/>
        <v>Not Required</v>
      </c>
      <c r="M77" s="145">
        <f t="shared" si="18"/>
        <v>0</v>
      </c>
      <c r="N77" s="144" t="str">
        <f t="shared" si="19"/>
        <v>Not Required</v>
      </c>
      <c r="O77" s="52" t="s">
        <v>475</v>
      </c>
    </row>
    <row r="78" spans="1:15" ht="15.75" hidden="1" customHeight="1" outlineLevel="1" x14ac:dyDescent="0.25">
      <c r="A78" s="249"/>
      <c r="B78" s="46" t="s">
        <v>297</v>
      </c>
      <c r="C78" s="23" t="s">
        <v>262</v>
      </c>
      <c r="D78" s="29" t="s">
        <v>772</v>
      </c>
      <c r="E78" s="145">
        <f t="shared" si="10"/>
        <v>0</v>
      </c>
      <c r="F78" s="144" t="str">
        <f t="shared" si="11"/>
        <v>Not Required</v>
      </c>
      <c r="G78" s="145">
        <f t="shared" si="12"/>
        <v>3</v>
      </c>
      <c r="H78" s="144" t="str">
        <f t="shared" si="13"/>
        <v>Not Required</v>
      </c>
      <c r="I78" s="145">
        <f t="shared" si="14"/>
        <v>0</v>
      </c>
      <c r="J78" s="144" t="str">
        <f t="shared" si="15"/>
        <v>Not Required</v>
      </c>
      <c r="K78" s="145">
        <f t="shared" si="16"/>
        <v>0</v>
      </c>
      <c r="L78" s="144" t="str">
        <f t="shared" si="17"/>
        <v>Not Required</v>
      </c>
      <c r="M78" s="145">
        <f t="shared" si="18"/>
        <v>0</v>
      </c>
      <c r="N78" s="144" t="str">
        <f t="shared" si="19"/>
        <v>Not Required</v>
      </c>
      <c r="O78" s="52" t="s">
        <v>476</v>
      </c>
    </row>
    <row r="79" spans="1:15" ht="15.75" hidden="1" customHeight="1" outlineLevel="1" x14ac:dyDescent="0.25">
      <c r="A79" s="249"/>
      <c r="B79" s="46" t="s">
        <v>297</v>
      </c>
      <c r="C79" s="23" t="s">
        <v>49</v>
      </c>
      <c r="D79" s="29" t="s">
        <v>772</v>
      </c>
      <c r="E79" s="145">
        <f t="shared" si="10"/>
        <v>1</v>
      </c>
      <c r="F79" s="144" t="str">
        <f t="shared" si="11"/>
        <v>Not Required</v>
      </c>
      <c r="G79" s="145">
        <f t="shared" si="12"/>
        <v>3</v>
      </c>
      <c r="H79" s="144" t="str">
        <f t="shared" si="13"/>
        <v>Not Required</v>
      </c>
      <c r="I79" s="145">
        <f t="shared" si="14"/>
        <v>1</v>
      </c>
      <c r="J79" s="144" t="str">
        <f t="shared" si="15"/>
        <v>Not Required</v>
      </c>
      <c r="K79" s="145">
        <f t="shared" si="16"/>
        <v>1</v>
      </c>
      <c r="L79" s="144" t="str">
        <f t="shared" si="17"/>
        <v>Not Required</v>
      </c>
      <c r="M79" s="145">
        <f t="shared" si="18"/>
        <v>1</v>
      </c>
      <c r="N79" s="144" t="str">
        <f t="shared" si="19"/>
        <v>Not Required</v>
      </c>
      <c r="O79" s="52" t="s">
        <v>477</v>
      </c>
    </row>
    <row r="80" spans="1:15" ht="15.75" hidden="1" customHeight="1" outlineLevel="1" x14ac:dyDescent="0.25">
      <c r="A80" s="249"/>
      <c r="B80" s="46" t="s">
        <v>297</v>
      </c>
      <c r="C80" s="23" t="s">
        <v>49</v>
      </c>
      <c r="D80" s="29" t="s">
        <v>772</v>
      </c>
      <c r="E80" s="145">
        <f t="shared" si="10"/>
        <v>1</v>
      </c>
      <c r="F80" s="144" t="str">
        <f t="shared" si="11"/>
        <v>Not Required</v>
      </c>
      <c r="G80" s="145">
        <f t="shared" si="12"/>
        <v>3</v>
      </c>
      <c r="H80" s="144" t="str">
        <f t="shared" si="13"/>
        <v>Not Required</v>
      </c>
      <c r="I80" s="145">
        <f t="shared" si="14"/>
        <v>1</v>
      </c>
      <c r="J80" s="144" t="str">
        <f t="shared" si="15"/>
        <v>Not Required</v>
      </c>
      <c r="K80" s="145">
        <f t="shared" si="16"/>
        <v>1</v>
      </c>
      <c r="L80" s="144" t="str">
        <f t="shared" si="17"/>
        <v>Not Required</v>
      </c>
      <c r="M80" s="145">
        <f t="shared" si="18"/>
        <v>1</v>
      </c>
      <c r="N80" s="144" t="str">
        <f t="shared" si="19"/>
        <v>Not Required</v>
      </c>
      <c r="O80" s="52" t="s">
        <v>478</v>
      </c>
    </row>
    <row r="81" spans="1:15" ht="15.75" collapsed="1" x14ac:dyDescent="0.25">
      <c r="A81" s="249"/>
      <c r="B81" s="45" t="s">
        <v>50</v>
      </c>
      <c r="C81" s="21"/>
      <c r="D81" s="109" t="s">
        <v>772</v>
      </c>
      <c r="E81" s="145" t="str">
        <f t="shared" si="10"/>
        <v/>
      </c>
      <c r="F81" s="144" t="str">
        <f t="shared" si="11"/>
        <v>Not Required</v>
      </c>
      <c r="G81" s="145" t="str">
        <f t="shared" si="12"/>
        <v/>
      </c>
      <c r="H81" s="144" t="str">
        <f t="shared" si="13"/>
        <v>Not Required</v>
      </c>
      <c r="I81" s="145" t="str">
        <f t="shared" si="14"/>
        <v/>
      </c>
      <c r="J81" s="144" t="str">
        <f t="shared" si="15"/>
        <v>Not Required</v>
      </c>
      <c r="K81" s="145" t="str">
        <f t="shared" si="16"/>
        <v/>
      </c>
      <c r="L81" s="144" t="str">
        <f t="shared" si="17"/>
        <v>Not Required</v>
      </c>
      <c r="M81" s="145" t="str">
        <f t="shared" si="18"/>
        <v/>
      </c>
      <c r="N81" s="144" t="str">
        <f t="shared" si="19"/>
        <v>Not Required</v>
      </c>
      <c r="O81" s="52"/>
    </row>
    <row r="82" spans="1:15" ht="15.75" hidden="1" customHeight="1" outlineLevel="1" x14ac:dyDescent="0.25">
      <c r="A82" s="249"/>
      <c r="B82" s="46" t="s">
        <v>50</v>
      </c>
      <c r="C82" s="23" t="s">
        <v>51</v>
      </c>
      <c r="D82" s="29" t="s">
        <v>772</v>
      </c>
      <c r="E82" s="145">
        <f t="shared" si="10"/>
        <v>2</v>
      </c>
      <c r="F82" s="144" t="str">
        <f t="shared" si="11"/>
        <v>Not Required</v>
      </c>
      <c r="G82" s="145">
        <f t="shared" si="12"/>
        <v>3</v>
      </c>
      <c r="H82" s="144" t="str">
        <f t="shared" si="13"/>
        <v>Not Required</v>
      </c>
      <c r="I82" s="145">
        <f t="shared" si="14"/>
        <v>2</v>
      </c>
      <c r="J82" s="144" t="str">
        <f t="shared" si="15"/>
        <v>Not Required</v>
      </c>
      <c r="K82" s="145">
        <f t="shared" si="16"/>
        <v>2</v>
      </c>
      <c r="L82" s="144" t="str">
        <f t="shared" si="17"/>
        <v>Not Required</v>
      </c>
      <c r="M82" s="145">
        <f t="shared" si="18"/>
        <v>2</v>
      </c>
      <c r="N82" s="144" t="str">
        <f t="shared" si="19"/>
        <v>Not Required</v>
      </c>
      <c r="O82" s="52" t="s">
        <v>479</v>
      </c>
    </row>
    <row r="83" spans="1:15" ht="15.75" hidden="1" customHeight="1" outlineLevel="1" x14ac:dyDescent="0.25">
      <c r="A83" s="249"/>
      <c r="B83" s="46" t="s">
        <v>50</v>
      </c>
      <c r="C83" s="23" t="s">
        <v>52</v>
      </c>
      <c r="D83" s="29" t="s">
        <v>772</v>
      </c>
      <c r="E83" s="145">
        <f t="shared" si="10"/>
        <v>1</v>
      </c>
      <c r="F83" s="144" t="str">
        <f t="shared" si="11"/>
        <v>Not Required</v>
      </c>
      <c r="G83" s="145">
        <f t="shared" si="12"/>
        <v>3</v>
      </c>
      <c r="H83" s="144" t="str">
        <f t="shared" si="13"/>
        <v>Not Required</v>
      </c>
      <c r="I83" s="145">
        <f t="shared" si="14"/>
        <v>1</v>
      </c>
      <c r="J83" s="144" t="str">
        <f t="shared" si="15"/>
        <v>Not Required</v>
      </c>
      <c r="K83" s="145">
        <f t="shared" si="16"/>
        <v>1</v>
      </c>
      <c r="L83" s="144" t="str">
        <f t="shared" si="17"/>
        <v>Not Required</v>
      </c>
      <c r="M83" s="145">
        <f t="shared" si="18"/>
        <v>1</v>
      </c>
      <c r="N83" s="144" t="str">
        <f t="shared" si="19"/>
        <v>Not Required</v>
      </c>
      <c r="O83" s="52" t="s">
        <v>480</v>
      </c>
    </row>
    <row r="84" spans="1:15" ht="15.75" hidden="1" customHeight="1" outlineLevel="1" x14ac:dyDescent="0.25">
      <c r="A84" s="249"/>
      <c r="B84" s="46" t="s">
        <v>50</v>
      </c>
      <c r="C84" s="23" t="s">
        <v>53</v>
      </c>
      <c r="D84" s="29" t="s">
        <v>772</v>
      </c>
      <c r="E84" s="145">
        <f t="shared" si="10"/>
        <v>1</v>
      </c>
      <c r="F84" s="144" t="str">
        <f t="shared" si="11"/>
        <v>Not Required</v>
      </c>
      <c r="G84" s="145">
        <f t="shared" si="12"/>
        <v>3</v>
      </c>
      <c r="H84" s="144" t="str">
        <f t="shared" si="13"/>
        <v>Not Required</v>
      </c>
      <c r="I84" s="145">
        <f t="shared" si="14"/>
        <v>1</v>
      </c>
      <c r="J84" s="144" t="str">
        <f t="shared" si="15"/>
        <v>Not Required</v>
      </c>
      <c r="K84" s="145">
        <f t="shared" si="16"/>
        <v>1</v>
      </c>
      <c r="L84" s="144" t="str">
        <f t="shared" si="17"/>
        <v>Not Required</v>
      </c>
      <c r="M84" s="145">
        <f t="shared" si="18"/>
        <v>1</v>
      </c>
      <c r="N84" s="144" t="str">
        <f t="shared" si="19"/>
        <v>Not Required</v>
      </c>
      <c r="O84" s="52" t="s">
        <v>481</v>
      </c>
    </row>
    <row r="85" spans="1:15" ht="15.75" hidden="1" customHeight="1" outlineLevel="1" x14ac:dyDescent="0.25">
      <c r="A85" s="249"/>
      <c r="B85" s="46" t="s">
        <v>50</v>
      </c>
      <c r="C85" s="23" t="s">
        <v>54</v>
      </c>
      <c r="D85" s="29" t="s">
        <v>772</v>
      </c>
      <c r="E85" s="145">
        <f t="shared" si="10"/>
        <v>1</v>
      </c>
      <c r="F85" s="144" t="str">
        <f t="shared" si="11"/>
        <v>Not Required</v>
      </c>
      <c r="G85" s="145">
        <f t="shared" si="12"/>
        <v>3</v>
      </c>
      <c r="H85" s="144" t="str">
        <f t="shared" si="13"/>
        <v>Not Required</v>
      </c>
      <c r="I85" s="145">
        <f t="shared" si="14"/>
        <v>1</v>
      </c>
      <c r="J85" s="144" t="str">
        <f t="shared" si="15"/>
        <v>Not Required</v>
      </c>
      <c r="K85" s="145">
        <f t="shared" si="16"/>
        <v>1</v>
      </c>
      <c r="L85" s="144" t="str">
        <f t="shared" si="17"/>
        <v>Not Required</v>
      </c>
      <c r="M85" s="145">
        <f t="shared" si="18"/>
        <v>1</v>
      </c>
      <c r="N85" s="144" t="str">
        <f t="shared" si="19"/>
        <v>Not Required</v>
      </c>
      <c r="O85" s="52" t="s">
        <v>482</v>
      </c>
    </row>
    <row r="86" spans="1:15" ht="15.75" hidden="1" customHeight="1" outlineLevel="1" x14ac:dyDescent="0.25">
      <c r="A86" s="249"/>
      <c r="B86" s="46" t="s">
        <v>50</v>
      </c>
      <c r="C86" s="23" t="s">
        <v>55</v>
      </c>
      <c r="D86" s="29" t="s">
        <v>772</v>
      </c>
      <c r="E86" s="145">
        <f t="shared" si="10"/>
        <v>0</v>
      </c>
      <c r="F86" s="144" t="str">
        <f t="shared" si="11"/>
        <v>Not Required</v>
      </c>
      <c r="G86" s="145">
        <f t="shared" si="12"/>
        <v>3</v>
      </c>
      <c r="H86" s="144" t="str">
        <f t="shared" si="13"/>
        <v>Not Required</v>
      </c>
      <c r="I86" s="145">
        <f t="shared" si="14"/>
        <v>0</v>
      </c>
      <c r="J86" s="144" t="str">
        <f t="shared" si="15"/>
        <v>Not Required</v>
      </c>
      <c r="K86" s="145">
        <f t="shared" si="16"/>
        <v>0</v>
      </c>
      <c r="L86" s="144" t="str">
        <f t="shared" si="17"/>
        <v>Not Required</v>
      </c>
      <c r="M86" s="145">
        <f t="shared" si="18"/>
        <v>0</v>
      </c>
      <c r="N86" s="144" t="str">
        <f t="shared" si="19"/>
        <v>Not Required</v>
      </c>
      <c r="O86" s="52" t="s">
        <v>483</v>
      </c>
    </row>
    <row r="87" spans="1:15" ht="15.75" hidden="1" customHeight="1" outlineLevel="1" x14ac:dyDescent="0.25">
      <c r="A87" s="249"/>
      <c r="B87" s="46" t="s">
        <v>50</v>
      </c>
      <c r="C87" s="23" t="s">
        <v>485</v>
      </c>
      <c r="D87" s="29" t="s">
        <v>772</v>
      </c>
      <c r="E87" s="145">
        <f t="shared" si="10"/>
        <v>0</v>
      </c>
      <c r="F87" s="144" t="str">
        <f t="shared" si="11"/>
        <v>Not Required</v>
      </c>
      <c r="G87" s="145">
        <f t="shared" si="12"/>
        <v>3</v>
      </c>
      <c r="H87" s="144" t="str">
        <f t="shared" si="13"/>
        <v>Not Required</v>
      </c>
      <c r="I87" s="145">
        <f t="shared" si="14"/>
        <v>0</v>
      </c>
      <c r="J87" s="144" t="str">
        <f t="shared" si="15"/>
        <v>Not Required</v>
      </c>
      <c r="K87" s="145">
        <f t="shared" si="16"/>
        <v>0</v>
      </c>
      <c r="L87" s="144" t="str">
        <f t="shared" si="17"/>
        <v>Not Required</v>
      </c>
      <c r="M87" s="145">
        <f t="shared" si="18"/>
        <v>0</v>
      </c>
      <c r="N87" s="144" t="str">
        <f t="shared" si="19"/>
        <v>Not Required</v>
      </c>
      <c r="O87" s="52" t="s">
        <v>484</v>
      </c>
    </row>
    <row r="88" spans="1:15" ht="15.75" hidden="1" customHeight="1" outlineLevel="1" x14ac:dyDescent="0.25">
      <c r="A88" s="249"/>
      <c r="B88" s="46" t="s">
        <v>50</v>
      </c>
      <c r="C88" s="23" t="s">
        <v>263</v>
      </c>
      <c r="D88" s="29" t="s">
        <v>772</v>
      </c>
      <c r="E88" s="145">
        <f t="shared" si="10"/>
        <v>1</v>
      </c>
      <c r="F88" s="144" t="str">
        <f t="shared" si="11"/>
        <v>Not Required</v>
      </c>
      <c r="G88" s="145">
        <f t="shared" si="12"/>
        <v>3</v>
      </c>
      <c r="H88" s="144" t="str">
        <f t="shared" si="13"/>
        <v>Not Required</v>
      </c>
      <c r="I88" s="145">
        <f t="shared" si="14"/>
        <v>1</v>
      </c>
      <c r="J88" s="144" t="str">
        <f t="shared" si="15"/>
        <v>Not Required</v>
      </c>
      <c r="K88" s="145">
        <f t="shared" si="16"/>
        <v>1</v>
      </c>
      <c r="L88" s="144" t="str">
        <f t="shared" si="17"/>
        <v>Not Required</v>
      </c>
      <c r="M88" s="145">
        <f t="shared" si="18"/>
        <v>1</v>
      </c>
      <c r="N88" s="144" t="str">
        <f t="shared" si="19"/>
        <v>Not Required</v>
      </c>
      <c r="O88" s="52" t="s">
        <v>486</v>
      </c>
    </row>
    <row r="89" spans="1:15" ht="15.75" hidden="1" customHeight="1" outlineLevel="1" x14ac:dyDescent="0.25">
      <c r="A89" s="249"/>
      <c r="B89" s="46" t="s">
        <v>50</v>
      </c>
      <c r="C89" s="23" t="s">
        <v>488</v>
      </c>
      <c r="D89" s="29" t="s">
        <v>772</v>
      </c>
      <c r="E89" s="145">
        <f t="shared" si="10"/>
        <v>1</v>
      </c>
      <c r="F89" s="144" t="str">
        <f t="shared" si="11"/>
        <v>Not Required</v>
      </c>
      <c r="G89" s="145">
        <f t="shared" si="12"/>
        <v>3</v>
      </c>
      <c r="H89" s="144" t="str">
        <f t="shared" si="13"/>
        <v>Not Required</v>
      </c>
      <c r="I89" s="145">
        <f t="shared" si="14"/>
        <v>1</v>
      </c>
      <c r="J89" s="144" t="str">
        <f t="shared" si="15"/>
        <v>Not Required</v>
      </c>
      <c r="K89" s="145">
        <f t="shared" si="16"/>
        <v>1</v>
      </c>
      <c r="L89" s="144" t="str">
        <f t="shared" si="17"/>
        <v>Not Required</v>
      </c>
      <c r="M89" s="145">
        <f t="shared" si="18"/>
        <v>1</v>
      </c>
      <c r="N89" s="144" t="str">
        <f t="shared" si="19"/>
        <v>Not Required</v>
      </c>
      <c r="O89" s="52" t="s">
        <v>487</v>
      </c>
    </row>
    <row r="90" spans="1:15" ht="15.75" hidden="1" customHeight="1" outlineLevel="1" x14ac:dyDescent="0.25">
      <c r="A90" s="249"/>
      <c r="B90" s="46" t="s">
        <v>50</v>
      </c>
      <c r="C90" s="23" t="s">
        <v>313</v>
      </c>
      <c r="D90" s="29" t="s">
        <v>772</v>
      </c>
      <c r="E90" s="145">
        <f t="shared" si="10"/>
        <v>0</v>
      </c>
      <c r="F90" s="144" t="str">
        <f t="shared" si="11"/>
        <v>Not Required</v>
      </c>
      <c r="G90" s="145">
        <f t="shared" si="12"/>
        <v>3</v>
      </c>
      <c r="H90" s="144" t="str">
        <f t="shared" si="13"/>
        <v>Not Required</v>
      </c>
      <c r="I90" s="145">
        <f t="shared" si="14"/>
        <v>0</v>
      </c>
      <c r="J90" s="144" t="str">
        <f t="shared" si="15"/>
        <v>Not Required</v>
      </c>
      <c r="K90" s="145">
        <f t="shared" si="16"/>
        <v>0</v>
      </c>
      <c r="L90" s="144" t="str">
        <f t="shared" si="17"/>
        <v>Not Required</v>
      </c>
      <c r="M90" s="145">
        <f t="shared" si="18"/>
        <v>0</v>
      </c>
      <c r="N90" s="144" t="str">
        <f t="shared" si="19"/>
        <v>Not Required</v>
      </c>
      <c r="O90" s="52" t="s">
        <v>489</v>
      </c>
    </row>
    <row r="91" spans="1:15" ht="15.75" collapsed="1" x14ac:dyDescent="0.25">
      <c r="A91" s="249"/>
      <c r="B91" s="45" t="s">
        <v>56</v>
      </c>
      <c r="C91" s="21"/>
      <c r="D91" s="109" t="s">
        <v>772</v>
      </c>
      <c r="E91" s="145" t="str">
        <f t="shared" si="10"/>
        <v/>
      </c>
      <c r="F91" s="144" t="str">
        <f t="shared" si="11"/>
        <v>Not Required</v>
      </c>
      <c r="G91" s="145" t="str">
        <f t="shared" si="12"/>
        <v/>
      </c>
      <c r="H91" s="144" t="str">
        <f t="shared" si="13"/>
        <v>Not Required</v>
      </c>
      <c r="I91" s="145" t="str">
        <f t="shared" si="14"/>
        <v/>
      </c>
      <c r="J91" s="144" t="str">
        <f t="shared" si="15"/>
        <v>Not Required</v>
      </c>
      <c r="K91" s="145" t="str">
        <f t="shared" si="16"/>
        <v/>
      </c>
      <c r="L91" s="144" t="str">
        <f t="shared" si="17"/>
        <v>Not Required</v>
      </c>
      <c r="M91" s="145" t="str">
        <f t="shared" si="18"/>
        <v/>
      </c>
      <c r="N91" s="144" t="str">
        <f t="shared" si="19"/>
        <v>Not Required</v>
      </c>
      <c r="O91" s="52"/>
    </row>
    <row r="92" spans="1:15" ht="15.75" hidden="1" customHeight="1" outlineLevel="1" x14ac:dyDescent="0.25">
      <c r="A92" s="249"/>
      <c r="B92" s="46" t="s">
        <v>56</v>
      </c>
      <c r="C92" s="23" t="s">
        <v>57</v>
      </c>
      <c r="D92" s="29" t="s">
        <v>772</v>
      </c>
      <c r="E92" s="145">
        <f t="shared" si="10"/>
        <v>0</v>
      </c>
      <c r="F92" s="144" t="str">
        <f t="shared" si="11"/>
        <v>Not Required</v>
      </c>
      <c r="G92" s="145">
        <f t="shared" si="12"/>
        <v>3</v>
      </c>
      <c r="H92" s="144" t="str">
        <f t="shared" si="13"/>
        <v>Not Required</v>
      </c>
      <c r="I92" s="145">
        <f t="shared" si="14"/>
        <v>0</v>
      </c>
      <c r="J92" s="144" t="str">
        <f t="shared" si="15"/>
        <v>Not Required</v>
      </c>
      <c r="K92" s="145">
        <f t="shared" si="16"/>
        <v>0</v>
      </c>
      <c r="L92" s="144" t="str">
        <f t="shared" si="17"/>
        <v>Not Required</v>
      </c>
      <c r="M92" s="145">
        <f t="shared" si="18"/>
        <v>0</v>
      </c>
      <c r="N92" s="144" t="str">
        <f t="shared" si="19"/>
        <v>Not Required</v>
      </c>
      <c r="O92" s="52" t="s">
        <v>490</v>
      </c>
    </row>
    <row r="93" spans="1:15" ht="15.75" hidden="1" customHeight="1" outlineLevel="1" x14ac:dyDescent="0.25">
      <c r="A93" s="249"/>
      <c r="B93" s="46" t="s">
        <v>56</v>
      </c>
      <c r="C93" s="23" t="s">
        <v>58</v>
      </c>
      <c r="D93" s="29" t="s">
        <v>772</v>
      </c>
      <c r="E93" s="145">
        <f t="shared" si="10"/>
        <v>0</v>
      </c>
      <c r="F93" s="144" t="str">
        <f t="shared" si="11"/>
        <v>Not Required</v>
      </c>
      <c r="G93" s="145">
        <f t="shared" si="12"/>
        <v>3</v>
      </c>
      <c r="H93" s="144" t="str">
        <f t="shared" si="13"/>
        <v>Not Required</v>
      </c>
      <c r="I93" s="145">
        <f t="shared" si="14"/>
        <v>0</v>
      </c>
      <c r="J93" s="144" t="str">
        <f t="shared" si="15"/>
        <v>Not Required</v>
      </c>
      <c r="K93" s="145">
        <f t="shared" si="16"/>
        <v>0</v>
      </c>
      <c r="L93" s="144" t="str">
        <f t="shared" si="17"/>
        <v>Not Required</v>
      </c>
      <c r="M93" s="145">
        <f t="shared" si="18"/>
        <v>0</v>
      </c>
      <c r="N93" s="144" t="str">
        <f t="shared" si="19"/>
        <v>Not Required</v>
      </c>
      <c r="O93" s="52" t="s">
        <v>491</v>
      </c>
    </row>
    <row r="94" spans="1:15" ht="15.75" hidden="1" customHeight="1" outlineLevel="1" x14ac:dyDescent="0.25">
      <c r="A94" s="249"/>
      <c r="B94" s="46" t="s">
        <v>56</v>
      </c>
      <c r="C94" s="23" t="s">
        <v>59</v>
      </c>
      <c r="D94" s="29" t="s">
        <v>772</v>
      </c>
      <c r="E94" s="145">
        <f t="shared" si="10"/>
        <v>0</v>
      </c>
      <c r="F94" s="144" t="str">
        <f t="shared" si="11"/>
        <v>Not Required</v>
      </c>
      <c r="G94" s="145">
        <f t="shared" si="12"/>
        <v>3</v>
      </c>
      <c r="H94" s="144" t="str">
        <f t="shared" si="13"/>
        <v>Not Required</v>
      </c>
      <c r="I94" s="145">
        <f t="shared" si="14"/>
        <v>0</v>
      </c>
      <c r="J94" s="144" t="str">
        <f t="shared" si="15"/>
        <v>Not Required</v>
      </c>
      <c r="K94" s="145">
        <f t="shared" si="16"/>
        <v>0</v>
      </c>
      <c r="L94" s="144" t="str">
        <f t="shared" si="17"/>
        <v>Not Required</v>
      </c>
      <c r="M94" s="145">
        <f t="shared" si="18"/>
        <v>0</v>
      </c>
      <c r="N94" s="144" t="str">
        <f t="shared" si="19"/>
        <v>Not Required</v>
      </c>
      <c r="O94" s="52" t="s">
        <v>492</v>
      </c>
    </row>
    <row r="95" spans="1:15" ht="15.75" hidden="1" customHeight="1" outlineLevel="1" x14ac:dyDescent="0.25">
      <c r="A95" s="249"/>
      <c r="B95" s="46" t="s">
        <v>56</v>
      </c>
      <c r="C95" s="23" t="s">
        <v>60</v>
      </c>
      <c r="D95" s="29" t="s">
        <v>772</v>
      </c>
      <c r="E95" s="145">
        <f t="shared" si="10"/>
        <v>0</v>
      </c>
      <c r="F95" s="144" t="str">
        <f t="shared" si="11"/>
        <v>Not Required</v>
      </c>
      <c r="G95" s="145">
        <f t="shared" si="12"/>
        <v>3</v>
      </c>
      <c r="H95" s="144" t="str">
        <f t="shared" si="13"/>
        <v>Not Required</v>
      </c>
      <c r="I95" s="145">
        <f t="shared" si="14"/>
        <v>0</v>
      </c>
      <c r="J95" s="144" t="str">
        <f t="shared" si="15"/>
        <v>Not Required</v>
      </c>
      <c r="K95" s="145">
        <f t="shared" si="16"/>
        <v>0</v>
      </c>
      <c r="L95" s="144" t="str">
        <f t="shared" si="17"/>
        <v>Not Required</v>
      </c>
      <c r="M95" s="145">
        <f t="shared" si="18"/>
        <v>0</v>
      </c>
      <c r="N95" s="144" t="str">
        <f t="shared" si="19"/>
        <v>Not Required</v>
      </c>
      <c r="O95" s="52" t="s">
        <v>493</v>
      </c>
    </row>
    <row r="96" spans="1:15" ht="15.75" hidden="1" customHeight="1" outlineLevel="1" x14ac:dyDescent="0.25">
      <c r="A96" s="249"/>
      <c r="B96" s="46" t="s">
        <v>56</v>
      </c>
      <c r="C96" s="23" t="s">
        <v>61</v>
      </c>
      <c r="D96" s="29" t="s">
        <v>772</v>
      </c>
      <c r="E96" s="145">
        <f t="shared" si="10"/>
        <v>0</v>
      </c>
      <c r="F96" s="144" t="str">
        <f t="shared" si="11"/>
        <v>Not Required</v>
      </c>
      <c r="G96" s="145">
        <f t="shared" si="12"/>
        <v>3</v>
      </c>
      <c r="H96" s="144" t="str">
        <f t="shared" si="13"/>
        <v>Not Required</v>
      </c>
      <c r="I96" s="145">
        <f t="shared" si="14"/>
        <v>0</v>
      </c>
      <c r="J96" s="144" t="str">
        <f t="shared" si="15"/>
        <v>Not Required</v>
      </c>
      <c r="K96" s="145">
        <f t="shared" si="16"/>
        <v>0</v>
      </c>
      <c r="L96" s="144" t="str">
        <f t="shared" si="17"/>
        <v>Not Required</v>
      </c>
      <c r="M96" s="145">
        <f t="shared" si="18"/>
        <v>0</v>
      </c>
      <c r="N96" s="144" t="str">
        <f t="shared" si="19"/>
        <v>Not Required</v>
      </c>
      <c r="O96" s="52" t="s">
        <v>494</v>
      </c>
    </row>
    <row r="97" spans="1:15" ht="15.75" hidden="1" customHeight="1" outlineLevel="1" x14ac:dyDescent="0.25">
      <c r="A97" s="249"/>
      <c r="B97" s="46" t="s">
        <v>56</v>
      </c>
      <c r="C97" s="23" t="s">
        <v>62</v>
      </c>
      <c r="D97" s="29" t="s">
        <v>772</v>
      </c>
      <c r="E97" s="145">
        <f t="shared" si="10"/>
        <v>0</v>
      </c>
      <c r="F97" s="144" t="str">
        <f t="shared" si="11"/>
        <v>Not Required</v>
      </c>
      <c r="G97" s="145">
        <f t="shared" si="12"/>
        <v>3</v>
      </c>
      <c r="H97" s="144" t="str">
        <f t="shared" si="13"/>
        <v>Not Required</v>
      </c>
      <c r="I97" s="145">
        <f t="shared" si="14"/>
        <v>0</v>
      </c>
      <c r="J97" s="144" t="str">
        <f t="shared" si="15"/>
        <v>Not Required</v>
      </c>
      <c r="K97" s="145">
        <f t="shared" si="16"/>
        <v>0</v>
      </c>
      <c r="L97" s="144" t="str">
        <f t="shared" si="17"/>
        <v>Not Required</v>
      </c>
      <c r="M97" s="145">
        <f t="shared" si="18"/>
        <v>0</v>
      </c>
      <c r="N97" s="144" t="str">
        <f t="shared" si="19"/>
        <v>Not Required</v>
      </c>
      <c r="O97" s="52" t="s">
        <v>495</v>
      </c>
    </row>
    <row r="98" spans="1:15" ht="15.75" hidden="1" customHeight="1" outlineLevel="1" x14ac:dyDescent="0.25">
      <c r="A98" s="249"/>
      <c r="B98" s="46" t="s">
        <v>56</v>
      </c>
      <c r="C98" s="23" t="s">
        <v>63</v>
      </c>
      <c r="D98" s="29" t="s">
        <v>772</v>
      </c>
      <c r="E98" s="145">
        <f t="shared" si="10"/>
        <v>0</v>
      </c>
      <c r="F98" s="144" t="str">
        <f t="shared" si="11"/>
        <v>Not Required</v>
      </c>
      <c r="G98" s="145">
        <f t="shared" si="12"/>
        <v>3</v>
      </c>
      <c r="H98" s="144" t="str">
        <f t="shared" si="13"/>
        <v>Not Required</v>
      </c>
      <c r="I98" s="145">
        <f t="shared" si="14"/>
        <v>0</v>
      </c>
      <c r="J98" s="144" t="str">
        <f t="shared" si="15"/>
        <v>Not Required</v>
      </c>
      <c r="K98" s="145">
        <f t="shared" si="16"/>
        <v>0</v>
      </c>
      <c r="L98" s="144" t="str">
        <f t="shared" si="17"/>
        <v>Not Required</v>
      </c>
      <c r="M98" s="145">
        <f t="shared" si="18"/>
        <v>0</v>
      </c>
      <c r="N98" s="144" t="str">
        <f t="shared" si="19"/>
        <v>Not Required</v>
      </c>
      <c r="O98" s="52" t="s">
        <v>496</v>
      </c>
    </row>
    <row r="99" spans="1:15" ht="15.75" hidden="1" customHeight="1" outlineLevel="1" x14ac:dyDescent="0.25">
      <c r="A99" s="249"/>
      <c r="B99" s="46" t="s">
        <v>56</v>
      </c>
      <c r="C99" s="23" t="s">
        <v>64</v>
      </c>
      <c r="D99" s="29" t="s">
        <v>772</v>
      </c>
      <c r="E99" s="145">
        <f t="shared" si="10"/>
        <v>0</v>
      </c>
      <c r="F99" s="144" t="str">
        <f t="shared" si="11"/>
        <v>Not Required</v>
      </c>
      <c r="G99" s="145">
        <f t="shared" si="12"/>
        <v>3</v>
      </c>
      <c r="H99" s="144" t="str">
        <f t="shared" si="13"/>
        <v>Not Required</v>
      </c>
      <c r="I99" s="145">
        <f t="shared" si="14"/>
        <v>0</v>
      </c>
      <c r="J99" s="144" t="str">
        <f t="shared" si="15"/>
        <v>Not Required</v>
      </c>
      <c r="K99" s="145">
        <f t="shared" si="16"/>
        <v>0</v>
      </c>
      <c r="L99" s="144" t="str">
        <f t="shared" si="17"/>
        <v>Not Required</v>
      </c>
      <c r="M99" s="145">
        <f t="shared" si="18"/>
        <v>0</v>
      </c>
      <c r="N99" s="144" t="str">
        <f t="shared" si="19"/>
        <v>Not Required</v>
      </c>
      <c r="O99" s="52" t="s">
        <v>497</v>
      </c>
    </row>
    <row r="100" spans="1:15" ht="15.75" hidden="1" customHeight="1" outlineLevel="1" x14ac:dyDescent="0.25">
      <c r="A100" s="249"/>
      <c r="B100" s="46" t="s">
        <v>56</v>
      </c>
      <c r="C100" s="23" t="s">
        <v>65</v>
      </c>
      <c r="D100" s="29" t="s">
        <v>772</v>
      </c>
      <c r="E100" s="145">
        <f t="shared" si="10"/>
        <v>0</v>
      </c>
      <c r="F100" s="144" t="str">
        <f t="shared" si="11"/>
        <v>Not Required</v>
      </c>
      <c r="G100" s="145">
        <f t="shared" si="12"/>
        <v>3</v>
      </c>
      <c r="H100" s="144" t="str">
        <f t="shared" si="13"/>
        <v>Not Required</v>
      </c>
      <c r="I100" s="145">
        <f t="shared" si="14"/>
        <v>0</v>
      </c>
      <c r="J100" s="144" t="str">
        <f t="shared" si="15"/>
        <v>Not Required</v>
      </c>
      <c r="K100" s="145">
        <f t="shared" si="16"/>
        <v>0</v>
      </c>
      <c r="L100" s="144" t="str">
        <f t="shared" si="17"/>
        <v>Not Required</v>
      </c>
      <c r="M100" s="145">
        <f t="shared" si="18"/>
        <v>0</v>
      </c>
      <c r="N100" s="144" t="str">
        <f t="shared" si="19"/>
        <v>Not Required</v>
      </c>
      <c r="O100" s="52" t="s">
        <v>498</v>
      </c>
    </row>
    <row r="101" spans="1:15" ht="15.75" collapsed="1" x14ac:dyDescent="0.25">
      <c r="A101" s="249"/>
      <c r="B101" s="45" t="s">
        <v>66</v>
      </c>
      <c r="C101" s="21"/>
      <c r="D101" s="109" t="s">
        <v>772</v>
      </c>
      <c r="E101" s="145" t="str">
        <f t="shared" si="10"/>
        <v/>
      </c>
      <c r="F101" s="144" t="str">
        <f t="shared" si="11"/>
        <v>Not Required</v>
      </c>
      <c r="G101" s="145" t="str">
        <f t="shared" si="12"/>
        <v/>
      </c>
      <c r="H101" s="144" t="str">
        <f t="shared" si="13"/>
        <v>Not Required</v>
      </c>
      <c r="I101" s="145" t="str">
        <f t="shared" si="14"/>
        <v/>
      </c>
      <c r="J101" s="144" t="str">
        <f t="shared" si="15"/>
        <v>Not Required</v>
      </c>
      <c r="K101" s="145" t="str">
        <f t="shared" si="16"/>
        <v/>
      </c>
      <c r="L101" s="144" t="str">
        <f t="shared" si="17"/>
        <v>Not Required</v>
      </c>
      <c r="M101" s="145" t="str">
        <f t="shared" si="18"/>
        <v/>
      </c>
      <c r="N101" s="144" t="str">
        <f t="shared" si="19"/>
        <v>Not Required</v>
      </c>
      <c r="O101" s="52"/>
    </row>
    <row r="102" spans="1:15" ht="15.75" hidden="1" customHeight="1" outlineLevel="1" x14ac:dyDescent="0.25">
      <c r="A102" s="249"/>
      <c r="B102" s="46" t="s">
        <v>66</v>
      </c>
      <c r="C102" s="23" t="s">
        <v>67</v>
      </c>
      <c r="D102" s="29" t="s">
        <v>772</v>
      </c>
      <c r="E102" s="145">
        <f t="shared" si="10"/>
        <v>0</v>
      </c>
      <c r="F102" s="144" t="str">
        <f t="shared" si="11"/>
        <v>Not Required</v>
      </c>
      <c r="G102" s="145">
        <f t="shared" si="12"/>
        <v>0</v>
      </c>
      <c r="H102" s="144" t="str">
        <f t="shared" si="13"/>
        <v>Not Required</v>
      </c>
      <c r="I102" s="145">
        <f t="shared" si="14"/>
        <v>0</v>
      </c>
      <c r="J102" s="144" t="str">
        <f t="shared" si="15"/>
        <v>Not Required</v>
      </c>
      <c r="K102" s="145">
        <f t="shared" si="16"/>
        <v>0</v>
      </c>
      <c r="L102" s="144" t="str">
        <f t="shared" si="17"/>
        <v>Not Required</v>
      </c>
      <c r="M102" s="145">
        <f t="shared" si="18"/>
        <v>0</v>
      </c>
      <c r="N102" s="144" t="str">
        <f t="shared" si="19"/>
        <v>Not Required</v>
      </c>
      <c r="O102" s="52" t="s">
        <v>499</v>
      </c>
    </row>
    <row r="103" spans="1:15" ht="15.75" hidden="1" customHeight="1" outlineLevel="1" x14ac:dyDescent="0.25">
      <c r="A103" s="249"/>
      <c r="B103" s="46" t="s">
        <v>66</v>
      </c>
      <c r="C103" s="23" t="s">
        <v>68</v>
      </c>
      <c r="D103" s="29" t="s">
        <v>772</v>
      </c>
      <c r="E103" s="145">
        <f t="shared" si="10"/>
        <v>0</v>
      </c>
      <c r="F103" s="144" t="str">
        <f t="shared" si="11"/>
        <v>Not Required</v>
      </c>
      <c r="G103" s="145">
        <f t="shared" si="12"/>
        <v>0</v>
      </c>
      <c r="H103" s="144" t="str">
        <f t="shared" si="13"/>
        <v>Not Required</v>
      </c>
      <c r="I103" s="145">
        <f t="shared" si="14"/>
        <v>0</v>
      </c>
      <c r="J103" s="144" t="str">
        <f t="shared" si="15"/>
        <v>Not Required</v>
      </c>
      <c r="K103" s="145">
        <f t="shared" si="16"/>
        <v>0</v>
      </c>
      <c r="L103" s="144" t="str">
        <f t="shared" si="17"/>
        <v>Not Required</v>
      </c>
      <c r="M103" s="145">
        <f t="shared" si="18"/>
        <v>0</v>
      </c>
      <c r="N103" s="144" t="str">
        <f t="shared" si="19"/>
        <v>Not Required</v>
      </c>
      <c r="O103" s="52" t="s">
        <v>500</v>
      </c>
    </row>
    <row r="104" spans="1:15" ht="15.75" hidden="1" customHeight="1" outlineLevel="1" x14ac:dyDescent="0.25">
      <c r="A104" s="249"/>
      <c r="B104" s="46" t="s">
        <v>66</v>
      </c>
      <c r="C104" s="23" t="s">
        <v>69</v>
      </c>
      <c r="D104" s="29" t="s">
        <v>772</v>
      </c>
      <c r="E104" s="145">
        <f t="shared" si="10"/>
        <v>0</v>
      </c>
      <c r="F104" s="144" t="str">
        <f t="shared" si="11"/>
        <v>Not Required</v>
      </c>
      <c r="G104" s="145">
        <f t="shared" si="12"/>
        <v>0</v>
      </c>
      <c r="H104" s="144" t="str">
        <f t="shared" si="13"/>
        <v>Not Required</v>
      </c>
      <c r="I104" s="145">
        <f t="shared" si="14"/>
        <v>0</v>
      </c>
      <c r="J104" s="144" t="str">
        <f t="shared" si="15"/>
        <v>Not Required</v>
      </c>
      <c r="K104" s="145">
        <f t="shared" si="16"/>
        <v>0</v>
      </c>
      <c r="L104" s="144" t="str">
        <f t="shared" si="17"/>
        <v>Not Required</v>
      </c>
      <c r="M104" s="145">
        <f t="shared" si="18"/>
        <v>0</v>
      </c>
      <c r="N104" s="144" t="str">
        <f t="shared" si="19"/>
        <v>Not Required</v>
      </c>
      <c r="O104" s="52" t="s">
        <v>501</v>
      </c>
    </row>
    <row r="105" spans="1:15" ht="15.75" hidden="1" customHeight="1" outlineLevel="1" x14ac:dyDescent="0.25">
      <c r="A105" s="249"/>
      <c r="B105" s="46" t="s">
        <v>66</v>
      </c>
      <c r="C105" s="23" t="s">
        <v>70</v>
      </c>
      <c r="D105" s="29" t="s">
        <v>772</v>
      </c>
      <c r="E105" s="145">
        <f t="shared" si="10"/>
        <v>0</v>
      </c>
      <c r="F105" s="144" t="str">
        <f t="shared" si="11"/>
        <v>Not Required</v>
      </c>
      <c r="G105" s="145">
        <f t="shared" si="12"/>
        <v>0</v>
      </c>
      <c r="H105" s="144" t="str">
        <f t="shared" si="13"/>
        <v>Not Required</v>
      </c>
      <c r="I105" s="145">
        <f t="shared" si="14"/>
        <v>0</v>
      </c>
      <c r="J105" s="144" t="str">
        <f t="shared" si="15"/>
        <v>Not Required</v>
      </c>
      <c r="K105" s="145">
        <f t="shared" si="16"/>
        <v>0</v>
      </c>
      <c r="L105" s="144" t="str">
        <f t="shared" si="17"/>
        <v>Not Required</v>
      </c>
      <c r="M105" s="145">
        <f t="shared" si="18"/>
        <v>0</v>
      </c>
      <c r="N105" s="144" t="str">
        <f t="shared" si="19"/>
        <v>Not Required</v>
      </c>
      <c r="O105" s="52" t="s">
        <v>502</v>
      </c>
    </row>
    <row r="106" spans="1:15" ht="15.75" hidden="1" customHeight="1" outlineLevel="1" x14ac:dyDescent="0.25">
      <c r="A106" s="249"/>
      <c r="B106" s="46" t="s">
        <v>66</v>
      </c>
      <c r="C106" s="23" t="s">
        <v>71</v>
      </c>
      <c r="D106" s="29" t="s">
        <v>772</v>
      </c>
      <c r="E106" s="145">
        <f t="shared" si="10"/>
        <v>0</v>
      </c>
      <c r="F106" s="144" t="str">
        <f t="shared" si="11"/>
        <v>Not Required</v>
      </c>
      <c r="G106" s="145">
        <f t="shared" si="12"/>
        <v>0</v>
      </c>
      <c r="H106" s="144" t="str">
        <f t="shared" si="13"/>
        <v>Not Required</v>
      </c>
      <c r="I106" s="145">
        <f t="shared" si="14"/>
        <v>0</v>
      </c>
      <c r="J106" s="144" t="str">
        <f t="shared" si="15"/>
        <v>Not Required</v>
      </c>
      <c r="K106" s="145">
        <f t="shared" si="16"/>
        <v>0</v>
      </c>
      <c r="L106" s="144" t="str">
        <f t="shared" si="17"/>
        <v>Not Required</v>
      </c>
      <c r="M106" s="145">
        <f t="shared" si="18"/>
        <v>0</v>
      </c>
      <c r="N106" s="144" t="str">
        <f t="shared" si="19"/>
        <v>Not Required</v>
      </c>
      <c r="O106" s="52" t="s">
        <v>503</v>
      </c>
    </row>
    <row r="107" spans="1:15" ht="15.75" hidden="1" customHeight="1" outlineLevel="1" x14ac:dyDescent="0.25">
      <c r="A107" s="249"/>
      <c r="B107" s="46" t="s">
        <v>66</v>
      </c>
      <c r="C107" s="23" t="s">
        <v>72</v>
      </c>
      <c r="D107" s="29" t="s">
        <v>772</v>
      </c>
      <c r="E107" s="145">
        <f t="shared" si="10"/>
        <v>0</v>
      </c>
      <c r="F107" s="144" t="str">
        <f t="shared" si="11"/>
        <v>Not Required</v>
      </c>
      <c r="G107" s="145">
        <f t="shared" si="12"/>
        <v>0</v>
      </c>
      <c r="H107" s="144" t="str">
        <f t="shared" si="13"/>
        <v>Not Required</v>
      </c>
      <c r="I107" s="145">
        <f t="shared" si="14"/>
        <v>0</v>
      </c>
      <c r="J107" s="144" t="str">
        <f t="shared" si="15"/>
        <v>Not Required</v>
      </c>
      <c r="K107" s="145">
        <f t="shared" si="16"/>
        <v>0</v>
      </c>
      <c r="L107" s="144" t="str">
        <f t="shared" si="17"/>
        <v>Not Required</v>
      </c>
      <c r="M107" s="145">
        <f t="shared" si="18"/>
        <v>0</v>
      </c>
      <c r="N107" s="144" t="str">
        <f t="shared" si="19"/>
        <v>Not Required</v>
      </c>
      <c r="O107" s="52" t="s">
        <v>504</v>
      </c>
    </row>
    <row r="108" spans="1:15" ht="15.75" hidden="1" customHeight="1" outlineLevel="1" x14ac:dyDescent="0.25">
      <c r="A108" s="249"/>
      <c r="B108" s="46" t="s">
        <v>66</v>
      </c>
      <c r="C108" s="23" t="s">
        <v>73</v>
      </c>
      <c r="D108" s="29" t="s">
        <v>772</v>
      </c>
      <c r="E108" s="145">
        <f t="shared" si="10"/>
        <v>0</v>
      </c>
      <c r="F108" s="144" t="str">
        <f t="shared" si="11"/>
        <v>Not Required</v>
      </c>
      <c r="G108" s="145">
        <f t="shared" si="12"/>
        <v>0</v>
      </c>
      <c r="H108" s="144" t="str">
        <f t="shared" si="13"/>
        <v>Not Required</v>
      </c>
      <c r="I108" s="145">
        <f t="shared" si="14"/>
        <v>0</v>
      </c>
      <c r="J108" s="144" t="str">
        <f t="shared" si="15"/>
        <v>Not Required</v>
      </c>
      <c r="K108" s="145">
        <f t="shared" si="16"/>
        <v>0</v>
      </c>
      <c r="L108" s="144" t="str">
        <f t="shared" si="17"/>
        <v>Not Required</v>
      </c>
      <c r="M108" s="145">
        <f t="shared" si="18"/>
        <v>0</v>
      </c>
      <c r="N108" s="144" t="str">
        <f t="shared" si="19"/>
        <v>Not Required</v>
      </c>
      <c r="O108" s="52" t="s">
        <v>505</v>
      </c>
    </row>
    <row r="109" spans="1:15" ht="15.75" hidden="1" customHeight="1" outlineLevel="1" x14ac:dyDescent="0.25">
      <c r="A109" s="249"/>
      <c r="B109" s="46" t="s">
        <v>66</v>
      </c>
      <c r="C109" s="23" t="s">
        <v>74</v>
      </c>
      <c r="D109" s="29" t="s">
        <v>772</v>
      </c>
      <c r="E109" s="145">
        <f t="shared" si="10"/>
        <v>0</v>
      </c>
      <c r="F109" s="144" t="str">
        <f t="shared" si="11"/>
        <v>Not Required</v>
      </c>
      <c r="G109" s="145">
        <f t="shared" si="12"/>
        <v>0</v>
      </c>
      <c r="H109" s="144" t="str">
        <f t="shared" si="13"/>
        <v>Not Required</v>
      </c>
      <c r="I109" s="145">
        <f t="shared" si="14"/>
        <v>0</v>
      </c>
      <c r="J109" s="144" t="str">
        <f t="shared" si="15"/>
        <v>Not Required</v>
      </c>
      <c r="K109" s="145">
        <f t="shared" si="16"/>
        <v>0</v>
      </c>
      <c r="L109" s="144" t="str">
        <f t="shared" si="17"/>
        <v>Not Required</v>
      </c>
      <c r="M109" s="145">
        <f t="shared" si="18"/>
        <v>0</v>
      </c>
      <c r="N109" s="144" t="str">
        <f t="shared" si="19"/>
        <v>Not Required</v>
      </c>
      <c r="O109" s="52" t="s">
        <v>506</v>
      </c>
    </row>
    <row r="110" spans="1:15" ht="15.75" collapsed="1" x14ac:dyDescent="0.25">
      <c r="A110" s="249"/>
      <c r="B110" s="45" t="s">
        <v>673</v>
      </c>
      <c r="C110" s="21"/>
      <c r="D110" s="109" t="s">
        <v>772</v>
      </c>
      <c r="E110" s="145" t="str">
        <f t="shared" si="10"/>
        <v/>
      </c>
      <c r="F110" s="144" t="str">
        <f t="shared" si="11"/>
        <v>Not Required</v>
      </c>
      <c r="G110" s="145" t="str">
        <f t="shared" si="12"/>
        <v/>
      </c>
      <c r="H110" s="144" t="str">
        <f t="shared" si="13"/>
        <v>Not Required</v>
      </c>
      <c r="I110" s="145" t="str">
        <f t="shared" si="14"/>
        <v/>
      </c>
      <c r="J110" s="144" t="str">
        <f t="shared" si="15"/>
        <v>Not Required</v>
      </c>
      <c r="K110" s="145" t="str">
        <f t="shared" si="16"/>
        <v/>
      </c>
      <c r="L110" s="144" t="str">
        <f t="shared" si="17"/>
        <v>Not Required</v>
      </c>
      <c r="M110" s="145" t="str">
        <f t="shared" si="18"/>
        <v/>
      </c>
      <c r="N110" s="144" t="str">
        <f t="shared" si="19"/>
        <v>Not Required</v>
      </c>
      <c r="O110" s="52"/>
    </row>
    <row r="111" spans="1:15" ht="15.75" hidden="1" customHeight="1" outlineLevel="1" x14ac:dyDescent="0.25">
      <c r="A111" s="249"/>
      <c r="B111" s="46" t="s">
        <v>673</v>
      </c>
      <c r="C111" s="23" t="s">
        <v>77</v>
      </c>
      <c r="D111" s="29" t="s">
        <v>772</v>
      </c>
      <c r="E111" s="145">
        <f t="shared" si="10"/>
        <v>2</v>
      </c>
      <c r="F111" s="144" t="str">
        <f t="shared" si="11"/>
        <v>Not Required</v>
      </c>
      <c r="G111" s="145">
        <f t="shared" si="12"/>
        <v>3</v>
      </c>
      <c r="H111" s="144" t="str">
        <f t="shared" si="13"/>
        <v>Not Required</v>
      </c>
      <c r="I111" s="145">
        <f t="shared" si="14"/>
        <v>2</v>
      </c>
      <c r="J111" s="144" t="str">
        <f t="shared" si="15"/>
        <v>Not Required</v>
      </c>
      <c r="K111" s="145">
        <f t="shared" si="16"/>
        <v>2</v>
      </c>
      <c r="L111" s="144" t="str">
        <f t="shared" si="17"/>
        <v>Not Required</v>
      </c>
      <c r="M111" s="145">
        <f t="shared" si="18"/>
        <v>2</v>
      </c>
      <c r="N111" s="144" t="str">
        <f t="shared" si="19"/>
        <v>Not Required</v>
      </c>
      <c r="O111" s="52" t="s">
        <v>507</v>
      </c>
    </row>
    <row r="112" spans="1:15" ht="15.75" hidden="1" customHeight="1" outlineLevel="1" x14ac:dyDescent="0.25">
      <c r="A112" s="249"/>
      <c r="B112" s="46" t="s">
        <v>673</v>
      </c>
      <c r="C112" s="23" t="s">
        <v>78</v>
      </c>
      <c r="D112" s="29" t="s">
        <v>772</v>
      </c>
      <c r="E112" s="145">
        <f t="shared" si="10"/>
        <v>1</v>
      </c>
      <c r="F112" s="144" t="str">
        <f t="shared" si="11"/>
        <v>Not Required</v>
      </c>
      <c r="G112" s="145">
        <f t="shared" si="12"/>
        <v>3</v>
      </c>
      <c r="H112" s="144" t="str">
        <f t="shared" si="13"/>
        <v>Not Required</v>
      </c>
      <c r="I112" s="145">
        <f t="shared" si="14"/>
        <v>1</v>
      </c>
      <c r="J112" s="144" t="str">
        <f t="shared" si="15"/>
        <v>Not Required</v>
      </c>
      <c r="K112" s="145">
        <f t="shared" si="16"/>
        <v>1</v>
      </c>
      <c r="L112" s="144" t="str">
        <f t="shared" si="17"/>
        <v>Not Required</v>
      </c>
      <c r="M112" s="145">
        <f t="shared" si="18"/>
        <v>1</v>
      </c>
      <c r="N112" s="144" t="str">
        <f t="shared" si="19"/>
        <v>Not Required</v>
      </c>
      <c r="O112" s="52" t="s">
        <v>508</v>
      </c>
    </row>
    <row r="113" spans="1:15" ht="15.75" hidden="1" customHeight="1" outlineLevel="1" x14ac:dyDescent="0.25">
      <c r="A113" s="249"/>
      <c r="B113" s="46" t="s">
        <v>673</v>
      </c>
      <c r="C113" s="23" t="s">
        <v>510</v>
      </c>
      <c r="D113" s="29" t="s">
        <v>772</v>
      </c>
      <c r="E113" s="145">
        <f t="shared" si="10"/>
        <v>1</v>
      </c>
      <c r="F113" s="144" t="str">
        <f t="shared" si="11"/>
        <v>Not Required</v>
      </c>
      <c r="G113" s="145">
        <f t="shared" si="12"/>
        <v>3</v>
      </c>
      <c r="H113" s="144" t="str">
        <f t="shared" si="13"/>
        <v>Not Required</v>
      </c>
      <c r="I113" s="145">
        <f t="shared" si="14"/>
        <v>1</v>
      </c>
      <c r="J113" s="144" t="str">
        <f t="shared" si="15"/>
        <v>Not Required</v>
      </c>
      <c r="K113" s="145">
        <f t="shared" si="16"/>
        <v>1</v>
      </c>
      <c r="L113" s="144" t="str">
        <f t="shared" si="17"/>
        <v>Not Required</v>
      </c>
      <c r="M113" s="145">
        <f t="shared" si="18"/>
        <v>1</v>
      </c>
      <c r="N113" s="144" t="str">
        <f t="shared" si="19"/>
        <v>Not Required</v>
      </c>
      <c r="O113" s="52" t="s">
        <v>509</v>
      </c>
    </row>
    <row r="114" spans="1:15" ht="15.75" hidden="1" customHeight="1" outlineLevel="1" x14ac:dyDescent="0.25">
      <c r="A114" s="249"/>
      <c r="B114" s="46" t="s">
        <v>673</v>
      </c>
      <c r="C114" s="23" t="s">
        <v>79</v>
      </c>
      <c r="D114" s="29" t="s">
        <v>772</v>
      </c>
      <c r="E114" s="145">
        <f t="shared" si="10"/>
        <v>0</v>
      </c>
      <c r="F114" s="144" t="str">
        <f t="shared" si="11"/>
        <v>Not Required</v>
      </c>
      <c r="G114" s="145">
        <f t="shared" si="12"/>
        <v>3</v>
      </c>
      <c r="H114" s="144" t="str">
        <f t="shared" si="13"/>
        <v>Not Required</v>
      </c>
      <c r="I114" s="145">
        <f t="shared" si="14"/>
        <v>0</v>
      </c>
      <c r="J114" s="144" t="str">
        <f t="shared" si="15"/>
        <v>Not Required</v>
      </c>
      <c r="K114" s="145">
        <f t="shared" si="16"/>
        <v>0</v>
      </c>
      <c r="L114" s="144" t="str">
        <f t="shared" si="17"/>
        <v>Not Required</v>
      </c>
      <c r="M114" s="145">
        <f t="shared" si="18"/>
        <v>0</v>
      </c>
      <c r="N114" s="144" t="str">
        <f t="shared" si="19"/>
        <v>Not Required</v>
      </c>
      <c r="O114" s="52" t="s">
        <v>511</v>
      </c>
    </row>
    <row r="115" spans="1:15" ht="15.75" hidden="1" customHeight="1" outlineLevel="1" x14ac:dyDescent="0.25">
      <c r="A115" s="249"/>
      <c r="B115" s="46" t="s">
        <v>673</v>
      </c>
      <c r="C115" s="23" t="s">
        <v>735</v>
      </c>
      <c r="D115" s="29" t="s">
        <v>772</v>
      </c>
      <c r="E115" s="145">
        <f t="shared" si="10"/>
        <v>0</v>
      </c>
      <c r="F115" s="144" t="str">
        <f t="shared" si="11"/>
        <v>Not Required</v>
      </c>
      <c r="G115" s="145">
        <f t="shared" si="12"/>
        <v>3</v>
      </c>
      <c r="H115" s="144" t="str">
        <f t="shared" si="13"/>
        <v>Not Required</v>
      </c>
      <c r="I115" s="145">
        <f t="shared" si="14"/>
        <v>0</v>
      </c>
      <c r="J115" s="144" t="str">
        <f t="shared" si="15"/>
        <v>Not Required</v>
      </c>
      <c r="K115" s="145">
        <f t="shared" si="16"/>
        <v>0</v>
      </c>
      <c r="L115" s="144" t="str">
        <f t="shared" si="17"/>
        <v>Not Required</v>
      </c>
      <c r="M115" s="145">
        <f t="shared" si="18"/>
        <v>0</v>
      </c>
      <c r="N115" s="144" t="str">
        <f t="shared" si="19"/>
        <v>Not Required</v>
      </c>
      <c r="O115" s="52" t="s">
        <v>512</v>
      </c>
    </row>
    <row r="116" spans="1:15" ht="15.75" hidden="1" customHeight="1" outlineLevel="1" x14ac:dyDescent="0.25">
      <c r="A116" s="249"/>
      <c r="B116" s="46" t="s">
        <v>673</v>
      </c>
      <c r="C116" s="23" t="s">
        <v>80</v>
      </c>
      <c r="D116" s="29" t="s">
        <v>772</v>
      </c>
      <c r="E116" s="145">
        <f t="shared" si="10"/>
        <v>0</v>
      </c>
      <c r="F116" s="144" t="str">
        <f t="shared" si="11"/>
        <v>Not Required</v>
      </c>
      <c r="G116" s="145">
        <f t="shared" si="12"/>
        <v>3</v>
      </c>
      <c r="H116" s="144" t="str">
        <f t="shared" si="13"/>
        <v>Not Required</v>
      </c>
      <c r="I116" s="145">
        <f t="shared" si="14"/>
        <v>0</v>
      </c>
      <c r="J116" s="144" t="str">
        <f t="shared" si="15"/>
        <v>Not Required</v>
      </c>
      <c r="K116" s="145">
        <f t="shared" si="16"/>
        <v>0</v>
      </c>
      <c r="L116" s="144" t="str">
        <f t="shared" si="17"/>
        <v>Not Required</v>
      </c>
      <c r="M116" s="145">
        <f t="shared" si="18"/>
        <v>0</v>
      </c>
      <c r="N116" s="144" t="str">
        <f t="shared" si="19"/>
        <v>Not Required</v>
      </c>
      <c r="O116" s="52" t="s">
        <v>513</v>
      </c>
    </row>
    <row r="117" spans="1:15" ht="15.75" hidden="1" customHeight="1" outlineLevel="1" x14ac:dyDescent="0.25">
      <c r="A117" s="249"/>
      <c r="B117" s="46" t="s">
        <v>673</v>
      </c>
      <c r="C117" s="23" t="s">
        <v>81</v>
      </c>
      <c r="D117" s="29" t="s">
        <v>772</v>
      </c>
      <c r="E117" s="145">
        <f t="shared" si="10"/>
        <v>0</v>
      </c>
      <c r="F117" s="144" t="str">
        <f t="shared" si="11"/>
        <v>Not Required</v>
      </c>
      <c r="G117" s="145">
        <f t="shared" si="12"/>
        <v>3</v>
      </c>
      <c r="H117" s="144" t="str">
        <f t="shared" si="13"/>
        <v>Not Required</v>
      </c>
      <c r="I117" s="145">
        <f t="shared" si="14"/>
        <v>0</v>
      </c>
      <c r="J117" s="144" t="str">
        <f t="shared" si="15"/>
        <v>Not Required</v>
      </c>
      <c r="K117" s="145">
        <f t="shared" si="16"/>
        <v>0</v>
      </c>
      <c r="L117" s="144" t="str">
        <f t="shared" si="17"/>
        <v>Not Required</v>
      </c>
      <c r="M117" s="145">
        <f t="shared" si="18"/>
        <v>0</v>
      </c>
      <c r="N117" s="144" t="str">
        <f t="shared" si="19"/>
        <v>Not Required</v>
      </c>
      <c r="O117" s="52" t="s">
        <v>514</v>
      </c>
    </row>
    <row r="118" spans="1:15" ht="15.75" hidden="1" customHeight="1" outlineLevel="1" x14ac:dyDescent="0.25">
      <c r="A118" s="249"/>
      <c r="B118" s="46" t="s">
        <v>673</v>
      </c>
      <c r="C118" s="23" t="s">
        <v>82</v>
      </c>
      <c r="D118" s="29" t="s">
        <v>772</v>
      </c>
      <c r="E118" s="145">
        <f t="shared" si="10"/>
        <v>0</v>
      </c>
      <c r="F118" s="144" t="str">
        <f t="shared" si="11"/>
        <v>Not Required</v>
      </c>
      <c r="G118" s="145">
        <f t="shared" si="12"/>
        <v>3</v>
      </c>
      <c r="H118" s="144" t="str">
        <f t="shared" si="13"/>
        <v>Not Required</v>
      </c>
      <c r="I118" s="145">
        <f t="shared" si="14"/>
        <v>0</v>
      </c>
      <c r="J118" s="144" t="str">
        <f t="shared" si="15"/>
        <v>Not Required</v>
      </c>
      <c r="K118" s="145">
        <f t="shared" si="16"/>
        <v>0</v>
      </c>
      <c r="L118" s="144" t="str">
        <f t="shared" si="17"/>
        <v>Not Required</v>
      </c>
      <c r="M118" s="145">
        <f t="shared" si="18"/>
        <v>0</v>
      </c>
      <c r="N118" s="144" t="str">
        <f t="shared" si="19"/>
        <v>Not Required</v>
      </c>
      <c r="O118" s="52" t="s">
        <v>515</v>
      </c>
    </row>
    <row r="119" spans="1:15" ht="15.75" hidden="1" customHeight="1" outlineLevel="1" x14ac:dyDescent="0.25">
      <c r="A119" s="249"/>
      <c r="B119" s="46" t="s">
        <v>673</v>
      </c>
      <c r="C119" s="23" t="s">
        <v>83</v>
      </c>
      <c r="D119" s="29" t="s">
        <v>772</v>
      </c>
      <c r="E119" s="145">
        <f t="shared" si="10"/>
        <v>1</v>
      </c>
      <c r="F119" s="144" t="str">
        <f t="shared" si="11"/>
        <v>Not Required</v>
      </c>
      <c r="G119" s="145">
        <f t="shared" si="12"/>
        <v>3</v>
      </c>
      <c r="H119" s="144" t="str">
        <f t="shared" si="13"/>
        <v>Not Required</v>
      </c>
      <c r="I119" s="145">
        <f t="shared" si="14"/>
        <v>1</v>
      </c>
      <c r="J119" s="144" t="str">
        <f t="shared" si="15"/>
        <v>Not Required</v>
      </c>
      <c r="K119" s="145">
        <f t="shared" si="16"/>
        <v>1</v>
      </c>
      <c r="L119" s="144" t="str">
        <f t="shared" si="17"/>
        <v>Not Required</v>
      </c>
      <c r="M119" s="145">
        <f t="shared" si="18"/>
        <v>1</v>
      </c>
      <c r="N119" s="144" t="str">
        <f t="shared" si="19"/>
        <v>Not Required</v>
      </c>
      <c r="O119" s="52" t="s">
        <v>516</v>
      </c>
    </row>
    <row r="120" spans="1:15" ht="15.75" collapsed="1" x14ac:dyDescent="0.25">
      <c r="A120" s="249"/>
      <c r="B120" s="45" t="s">
        <v>84</v>
      </c>
      <c r="C120" s="21"/>
      <c r="D120" s="109" t="s">
        <v>772</v>
      </c>
      <c r="E120" s="145" t="str">
        <f t="shared" si="10"/>
        <v/>
      </c>
      <c r="F120" s="144" t="str">
        <f t="shared" si="11"/>
        <v>Not Required</v>
      </c>
      <c r="G120" s="145" t="str">
        <f t="shared" si="12"/>
        <v/>
      </c>
      <c r="H120" s="144" t="str">
        <f t="shared" si="13"/>
        <v>Not Required</v>
      </c>
      <c r="I120" s="145" t="str">
        <f t="shared" si="14"/>
        <v/>
      </c>
      <c r="J120" s="144" t="str">
        <f t="shared" si="15"/>
        <v>Not Required</v>
      </c>
      <c r="K120" s="145" t="str">
        <f t="shared" si="16"/>
        <v/>
      </c>
      <c r="L120" s="144" t="str">
        <f t="shared" si="17"/>
        <v>Not Required</v>
      </c>
      <c r="M120" s="145" t="str">
        <f t="shared" si="18"/>
        <v/>
      </c>
      <c r="N120" s="144" t="str">
        <f t="shared" si="19"/>
        <v>Not Required</v>
      </c>
      <c r="O120" s="52"/>
    </row>
    <row r="121" spans="1:15" ht="15.75" hidden="1" customHeight="1" outlineLevel="1" x14ac:dyDescent="0.25">
      <c r="A121" s="249"/>
      <c r="B121" s="46" t="s">
        <v>84</v>
      </c>
      <c r="C121" s="23" t="s">
        <v>314</v>
      </c>
      <c r="D121" s="29" t="s">
        <v>772</v>
      </c>
      <c r="E121" s="145">
        <f t="shared" si="10"/>
        <v>1</v>
      </c>
      <c r="F121" s="144" t="str">
        <f t="shared" si="11"/>
        <v>Not Required</v>
      </c>
      <c r="G121" s="145">
        <f t="shared" si="12"/>
        <v>3</v>
      </c>
      <c r="H121" s="144" t="str">
        <f t="shared" si="13"/>
        <v>Not Required</v>
      </c>
      <c r="I121" s="145">
        <f t="shared" si="14"/>
        <v>1</v>
      </c>
      <c r="J121" s="144" t="str">
        <f t="shared" si="15"/>
        <v>Not Required</v>
      </c>
      <c r="K121" s="145">
        <f t="shared" si="16"/>
        <v>1</v>
      </c>
      <c r="L121" s="144" t="str">
        <f t="shared" si="17"/>
        <v>Not Required</v>
      </c>
      <c r="M121" s="145">
        <f t="shared" si="18"/>
        <v>1</v>
      </c>
      <c r="N121" s="144" t="str">
        <f t="shared" si="19"/>
        <v>Not Required</v>
      </c>
      <c r="O121" s="52" t="s">
        <v>517</v>
      </c>
    </row>
    <row r="122" spans="1:15" ht="15.75" hidden="1" customHeight="1" outlineLevel="1" x14ac:dyDescent="0.25">
      <c r="A122" s="249"/>
      <c r="B122" s="46" t="s">
        <v>84</v>
      </c>
      <c r="C122" s="23" t="s">
        <v>315</v>
      </c>
      <c r="D122" s="29" t="s">
        <v>772</v>
      </c>
      <c r="E122" s="145">
        <f t="shared" si="10"/>
        <v>1</v>
      </c>
      <c r="F122" s="144" t="str">
        <f t="shared" si="11"/>
        <v>Not Required</v>
      </c>
      <c r="G122" s="145">
        <f t="shared" si="12"/>
        <v>3</v>
      </c>
      <c r="H122" s="144" t="str">
        <f t="shared" si="13"/>
        <v>Not Required</v>
      </c>
      <c r="I122" s="145">
        <f t="shared" si="14"/>
        <v>1</v>
      </c>
      <c r="J122" s="144" t="str">
        <f t="shared" si="15"/>
        <v>Not Required</v>
      </c>
      <c r="K122" s="145">
        <f t="shared" si="16"/>
        <v>1</v>
      </c>
      <c r="L122" s="144" t="str">
        <f t="shared" si="17"/>
        <v>Not Required</v>
      </c>
      <c r="M122" s="145">
        <f t="shared" si="18"/>
        <v>1</v>
      </c>
      <c r="N122" s="144" t="str">
        <f t="shared" si="19"/>
        <v>Not Required</v>
      </c>
      <c r="O122" s="52" t="s">
        <v>518</v>
      </c>
    </row>
    <row r="123" spans="1:15" ht="15.75" hidden="1" customHeight="1" outlineLevel="1" x14ac:dyDescent="0.25">
      <c r="A123" s="249"/>
      <c r="B123" s="46" t="s">
        <v>84</v>
      </c>
      <c r="C123" s="23" t="s">
        <v>316</v>
      </c>
      <c r="D123" s="29" t="s">
        <v>772</v>
      </c>
      <c r="E123" s="145">
        <f t="shared" si="10"/>
        <v>1</v>
      </c>
      <c r="F123" s="144" t="str">
        <f t="shared" si="11"/>
        <v>Not Required</v>
      </c>
      <c r="G123" s="145">
        <f t="shared" si="12"/>
        <v>3</v>
      </c>
      <c r="H123" s="144" t="str">
        <f t="shared" si="13"/>
        <v>Not Required</v>
      </c>
      <c r="I123" s="145">
        <f t="shared" si="14"/>
        <v>1</v>
      </c>
      <c r="J123" s="144" t="str">
        <f t="shared" si="15"/>
        <v>Not Required</v>
      </c>
      <c r="K123" s="145">
        <f t="shared" si="16"/>
        <v>1</v>
      </c>
      <c r="L123" s="144" t="str">
        <f t="shared" si="17"/>
        <v>Not Required</v>
      </c>
      <c r="M123" s="145">
        <f t="shared" si="18"/>
        <v>1</v>
      </c>
      <c r="N123" s="144" t="str">
        <f t="shared" si="19"/>
        <v>Not Required</v>
      </c>
      <c r="O123" s="52" t="s">
        <v>519</v>
      </c>
    </row>
    <row r="124" spans="1:15" ht="15.75" hidden="1" customHeight="1" outlineLevel="1" x14ac:dyDescent="0.25">
      <c r="A124" s="249"/>
      <c r="B124" s="46" t="s">
        <v>84</v>
      </c>
      <c r="C124" s="23" t="s">
        <v>317</v>
      </c>
      <c r="D124" s="29" t="s">
        <v>772</v>
      </c>
      <c r="E124" s="145">
        <f t="shared" si="10"/>
        <v>1</v>
      </c>
      <c r="F124" s="144" t="str">
        <f t="shared" si="11"/>
        <v>Not Required</v>
      </c>
      <c r="G124" s="145">
        <f t="shared" si="12"/>
        <v>3</v>
      </c>
      <c r="H124" s="144" t="str">
        <f t="shared" si="13"/>
        <v>Not Required</v>
      </c>
      <c r="I124" s="145">
        <f t="shared" si="14"/>
        <v>1</v>
      </c>
      <c r="J124" s="144" t="str">
        <f t="shared" si="15"/>
        <v>Not Required</v>
      </c>
      <c r="K124" s="145">
        <f t="shared" si="16"/>
        <v>1</v>
      </c>
      <c r="L124" s="144" t="str">
        <f t="shared" si="17"/>
        <v>Not Required</v>
      </c>
      <c r="M124" s="145">
        <f t="shared" si="18"/>
        <v>1</v>
      </c>
      <c r="N124" s="144" t="str">
        <f t="shared" si="19"/>
        <v>Not Required</v>
      </c>
      <c r="O124" s="52" t="s">
        <v>520</v>
      </c>
    </row>
    <row r="125" spans="1:15" ht="15.75" hidden="1" customHeight="1" outlineLevel="1" x14ac:dyDescent="0.25">
      <c r="A125" s="249"/>
      <c r="B125" s="46" t="s">
        <v>84</v>
      </c>
      <c r="C125" s="23" t="s">
        <v>318</v>
      </c>
      <c r="D125" s="29" t="s">
        <v>772</v>
      </c>
      <c r="E125" s="145">
        <f t="shared" si="10"/>
        <v>1</v>
      </c>
      <c r="F125" s="144" t="str">
        <f t="shared" si="11"/>
        <v>Not Required</v>
      </c>
      <c r="G125" s="145">
        <f t="shared" si="12"/>
        <v>3</v>
      </c>
      <c r="H125" s="144" t="str">
        <f t="shared" si="13"/>
        <v>Not Required</v>
      </c>
      <c r="I125" s="145">
        <f t="shared" si="14"/>
        <v>1</v>
      </c>
      <c r="J125" s="144" t="str">
        <f t="shared" si="15"/>
        <v>Not Required</v>
      </c>
      <c r="K125" s="145">
        <f t="shared" si="16"/>
        <v>1</v>
      </c>
      <c r="L125" s="144" t="str">
        <f t="shared" si="17"/>
        <v>Not Required</v>
      </c>
      <c r="M125" s="145">
        <f t="shared" si="18"/>
        <v>1</v>
      </c>
      <c r="N125" s="144" t="str">
        <f t="shared" si="19"/>
        <v>Not Required</v>
      </c>
      <c r="O125" s="52" t="s">
        <v>521</v>
      </c>
    </row>
    <row r="126" spans="1:15" ht="15.75" hidden="1" customHeight="1" outlineLevel="1" x14ac:dyDescent="0.25">
      <c r="A126" s="249"/>
      <c r="B126" s="46" t="s">
        <v>84</v>
      </c>
      <c r="C126" s="23" t="s">
        <v>319</v>
      </c>
      <c r="D126" s="29" t="s">
        <v>772</v>
      </c>
      <c r="E126" s="145">
        <f t="shared" si="10"/>
        <v>1</v>
      </c>
      <c r="F126" s="144" t="str">
        <f t="shared" si="11"/>
        <v>Not Required</v>
      </c>
      <c r="G126" s="145">
        <f t="shared" si="12"/>
        <v>3</v>
      </c>
      <c r="H126" s="144" t="str">
        <f t="shared" si="13"/>
        <v>Not Required</v>
      </c>
      <c r="I126" s="145">
        <f t="shared" si="14"/>
        <v>1</v>
      </c>
      <c r="J126" s="144" t="str">
        <f t="shared" si="15"/>
        <v>Not Required</v>
      </c>
      <c r="K126" s="145">
        <f t="shared" si="16"/>
        <v>1</v>
      </c>
      <c r="L126" s="144" t="str">
        <f t="shared" si="17"/>
        <v>Not Required</v>
      </c>
      <c r="M126" s="145">
        <f t="shared" si="18"/>
        <v>1</v>
      </c>
      <c r="N126" s="144" t="str">
        <f t="shared" si="19"/>
        <v>Not Required</v>
      </c>
      <c r="O126" s="52" t="s">
        <v>522</v>
      </c>
    </row>
    <row r="127" spans="1:15" ht="15.75" hidden="1" customHeight="1" outlineLevel="1" x14ac:dyDescent="0.25">
      <c r="A127" s="249"/>
      <c r="B127" s="46" t="s">
        <v>84</v>
      </c>
      <c r="C127" s="23" t="s">
        <v>320</v>
      </c>
      <c r="D127" s="29" t="s">
        <v>772</v>
      </c>
      <c r="E127" s="145">
        <f t="shared" si="10"/>
        <v>1</v>
      </c>
      <c r="F127" s="144" t="str">
        <f t="shared" si="11"/>
        <v>Not Required</v>
      </c>
      <c r="G127" s="145">
        <f t="shared" si="12"/>
        <v>3</v>
      </c>
      <c r="H127" s="144" t="str">
        <f t="shared" si="13"/>
        <v>Not Required</v>
      </c>
      <c r="I127" s="145">
        <f t="shared" si="14"/>
        <v>1</v>
      </c>
      <c r="J127" s="144" t="str">
        <f t="shared" si="15"/>
        <v>Not Required</v>
      </c>
      <c r="K127" s="145">
        <f t="shared" si="16"/>
        <v>1</v>
      </c>
      <c r="L127" s="144" t="str">
        <f t="shared" si="17"/>
        <v>Not Required</v>
      </c>
      <c r="M127" s="145">
        <f t="shared" si="18"/>
        <v>1</v>
      </c>
      <c r="N127" s="144" t="str">
        <f t="shared" si="19"/>
        <v>Not Required</v>
      </c>
      <c r="O127" s="52" t="s">
        <v>523</v>
      </c>
    </row>
    <row r="128" spans="1:15" ht="15.75" hidden="1" customHeight="1" outlineLevel="1" x14ac:dyDescent="0.25">
      <c r="A128" s="249"/>
      <c r="B128" s="46" t="s">
        <v>84</v>
      </c>
      <c r="C128" s="23" t="s">
        <v>321</v>
      </c>
      <c r="D128" s="29" t="s">
        <v>772</v>
      </c>
      <c r="E128" s="145">
        <f t="shared" si="10"/>
        <v>1</v>
      </c>
      <c r="F128" s="144" t="str">
        <f t="shared" si="11"/>
        <v>Not Required</v>
      </c>
      <c r="G128" s="145">
        <f t="shared" si="12"/>
        <v>3</v>
      </c>
      <c r="H128" s="144" t="str">
        <f t="shared" si="13"/>
        <v>Not Required</v>
      </c>
      <c r="I128" s="145">
        <f t="shared" si="14"/>
        <v>1</v>
      </c>
      <c r="J128" s="144" t="str">
        <f t="shared" si="15"/>
        <v>Not Required</v>
      </c>
      <c r="K128" s="145">
        <f t="shared" si="16"/>
        <v>1</v>
      </c>
      <c r="L128" s="144" t="str">
        <f t="shared" si="17"/>
        <v>Not Required</v>
      </c>
      <c r="M128" s="145">
        <f t="shared" si="18"/>
        <v>1</v>
      </c>
      <c r="N128" s="144" t="str">
        <f t="shared" si="19"/>
        <v>Not Required</v>
      </c>
      <c r="O128" s="52" t="s">
        <v>524</v>
      </c>
    </row>
    <row r="129" spans="1:15" ht="15.75" hidden="1" customHeight="1" outlineLevel="1" x14ac:dyDescent="0.25">
      <c r="A129" s="249"/>
      <c r="B129" s="46" t="s">
        <v>84</v>
      </c>
      <c r="C129" s="23" t="s">
        <v>322</v>
      </c>
      <c r="D129" s="29" t="s">
        <v>772</v>
      </c>
      <c r="E129" s="145">
        <f t="shared" si="10"/>
        <v>1</v>
      </c>
      <c r="F129" s="144" t="str">
        <f t="shared" si="11"/>
        <v>Not Required</v>
      </c>
      <c r="G129" s="145">
        <f t="shared" si="12"/>
        <v>3</v>
      </c>
      <c r="H129" s="144" t="str">
        <f t="shared" si="13"/>
        <v>Not Required</v>
      </c>
      <c r="I129" s="145">
        <f t="shared" si="14"/>
        <v>1</v>
      </c>
      <c r="J129" s="144" t="str">
        <f t="shared" si="15"/>
        <v>Not Required</v>
      </c>
      <c r="K129" s="145">
        <f t="shared" si="16"/>
        <v>1</v>
      </c>
      <c r="L129" s="144" t="str">
        <f t="shared" si="17"/>
        <v>Not Required</v>
      </c>
      <c r="M129" s="145">
        <f t="shared" si="18"/>
        <v>1</v>
      </c>
      <c r="N129" s="144" t="str">
        <f t="shared" si="19"/>
        <v>Not Required</v>
      </c>
      <c r="O129" s="52" t="s">
        <v>525</v>
      </c>
    </row>
    <row r="130" spans="1:15" ht="15.75" collapsed="1" x14ac:dyDescent="0.25">
      <c r="A130" s="249"/>
      <c r="B130" s="45" t="s">
        <v>85</v>
      </c>
      <c r="C130" s="21"/>
      <c r="D130" s="109" t="s">
        <v>772</v>
      </c>
      <c r="E130" s="145" t="str">
        <f t="shared" si="10"/>
        <v/>
      </c>
      <c r="F130" s="144" t="str">
        <f t="shared" si="11"/>
        <v>Not Required</v>
      </c>
      <c r="G130" s="145" t="str">
        <f t="shared" si="12"/>
        <v/>
      </c>
      <c r="H130" s="144" t="str">
        <f t="shared" si="13"/>
        <v>Not Required</v>
      </c>
      <c r="I130" s="145" t="str">
        <f t="shared" si="14"/>
        <v/>
      </c>
      <c r="J130" s="144" t="str">
        <f t="shared" si="15"/>
        <v>Not Required</v>
      </c>
      <c r="K130" s="145" t="str">
        <f t="shared" si="16"/>
        <v/>
      </c>
      <c r="L130" s="144" t="str">
        <f t="shared" si="17"/>
        <v>Not Required</v>
      </c>
      <c r="M130" s="145" t="str">
        <f t="shared" si="18"/>
        <v/>
      </c>
      <c r="N130" s="144" t="str">
        <f t="shared" si="19"/>
        <v>Not Required</v>
      </c>
      <c r="O130" s="52"/>
    </row>
    <row r="131" spans="1:15" ht="15.75" hidden="1" customHeight="1" outlineLevel="1" x14ac:dyDescent="0.25">
      <c r="A131" s="249"/>
      <c r="B131" s="46" t="s">
        <v>85</v>
      </c>
      <c r="C131" s="23" t="s">
        <v>86</v>
      </c>
      <c r="D131" s="29" t="s">
        <v>772</v>
      </c>
      <c r="E131" s="145">
        <f t="shared" si="10"/>
        <v>1</v>
      </c>
      <c r="F131" s="144" t="str">
        <f t="shared" si="11"/>
        <v>Not Required</v>
      </c>
      <c r="G131" s="145">
        <f t="shared" si="12"/>
        <v>3</v>
      </c>
      <c r="H131" s="144" t="str">
        <f t="shared" si="13"/>
        <v>Not Required</v>
      </c>
      <c r="I131" s="145">
        <f t="shared" si="14"/>
        <v>1</v>
      </c>
      <c r="J131" s="144" t="str">
        <f t="shared" si="15"/>
        <v>Not Required</v>
      </c>
      <c r="K131" s="145">
        <f t="shared" si="16"/>
        <v>1</v>
      </c>
      <c r="L131" s="144" t="str">
        <f t="shared" si="17"/>
        <v>Not Required</v>
      </c>
      <c r="M131" s="145">
        <f t="shared" si="18"/>
        <v>1</v>
      </c>
      <c r="N131" s="144" t="str">
        <f t="shared" si="19"/>
        <v>Not Required</v>
      </c>
      <c r="O131" s="52" t="s">
        <v>526</v>
      </c>
    </row>
    <row r="132" spans="1:15" ht="15.75" hidden="1" customHeight="1" outlineLevel="1" x14ac:dyDescent="0.25">
      <c r="A132" s="249"/>
      <c r="B132" s="46" t="s">
        <v>85</v>
      </c>
      <c r="C132" s="23" t="s">
        <v>87</v>
      </c>
      <c r="D132" s="29" t="s">
        <v>772</v>
      </c>
      <c r="E132" s="145">
        <f t="shared" si="10"/>
        <v>1</v>
      </c>
      <c r="F132" s="144" t="str">
        <f t="shared" si="11"/>
        <v>Not Required</v>
      </c>
      <c r="G132" s="145">
        <f t="shared" si="12"/>
        <v>3</v>
      </c>
      <c r="H132" s="144" t="str">
        <f t="shared" si="13"/>
        <v>Not Required</v>
      </c>
      <c r="I132" s="145">
        <f t="shared" si="14"/>
        <v>1</v>
      </c>
      <c r="J132" s="144" t="str">
        <f t="shared" si="15"/>
        <v>Not Required</v>
      </c>
      <c r="K132" s="145">
        <f t="shared" si="16"/>
        <v>1</v>
      </c>
      <c r="L132" s="144" t="str">
        <f t="shared" si="17"/>
        <v>Not Required</v>
      </c>
      <c r="M132" s="145">
        <f t="shared" si="18"/>
        <v>1</v>
      </c>
      <c r="N132" s="144" t="str">
        <f t="shared" si="19"/>
        <v>Not Required</v>
      </c>
      <c r="O132" s="52" t="s">
        <v>527</v>
      </c>
    </row>
    <row r="133" spans="1:15" ht="15.75" hidden="1" customHeight="1" outlineLevel="1" x14ac:dyDescent="0.25">
      <c r="A133" s="249"/>
      <c r="B133" s="46" t="s">
        <v>85</v>
      </c>
      <c r="C133" s="23" t="s">
        <v>265</v>
      </c>
      <c r="D133" s="29" t="s">
        <v>772</v>
      </c>
      <c r="E133" s="145">
        <f t="shared" si="10"/>
        <v>1</v>
      </c>
      <c r="F133" s="144" t="str">
        <f t="shared" si="11"/>
        <v>Not Required</v>
      </c>
      <c r="G133" s="145">
        <f t="shared" si="12"/>
        <v>3</v>
      </c>
      <c r="H133" s="144" t="str">
        <f t="shared" si="13"/>
        <v>Not Required</v>
      </c>
      <c r="I133" s="145">
        <f t="shared" si="14"/>
        <v>1</v>
      </c>
      <c r="J133" s="144" t="str">
        <f t="shared" si="15"/>
        <v>Not Required</v>
      </c>
      <c r="K133" s="145">
        <f t="shared" si="16"/>
        <v>1</v>
      </c>
      <c r="L133" s="144" t="str">
        <f t="shared" si="17"/>
        <v>Not Required</v>
      </c>
      <c r="M133" s="145">
        <f t="shared" si="18"/>
        <v>1</v>
      </c>
      <c r="N133" s="144" t="str">
        <f t="shared" si="19"/>
        <v>Not Required</v>
      </c>
      <c r="O133" s="52" t="s">
        <v>528</v>
      </c>
    </row>
    <row r="134" spans="1:15" ht="15.75" hidden="1" customHeight="1" outlineLevel="1" x14ac:dyDescent="0.25">
      <c r="A134" s="249"/>
      <c r="B134" s="46" t="s">
        <v>85</v>
      </c>
      <c r="C134" s="23" t="s">
        <v>88</v>
      </c>
      <c r="D134" s="29" t="s">
        <v>772</v>
      </c>
      <c r="E134" s="145">
        <f t="shared" si="10"/>
        <v>1</v>
      </c>
      <c r="F134" s="144" t="str">
        <f t="shared" si="11"/>
        <v>Not Required</v>
      </c>
      <c r="G134" s="145">
        <f t="shared" si="12"/>
        <v>3</v>
      </c>
      <c r="H134" s="144" t="str">
        <f t="shared" si="13"/>
        <v>Not Required</v>
      </c>
      <c r="I134" s="145">
        <f t="shared" si="14"/>
        <v>1</v>
      </c>
      <c r="J134" s="144" t="str">
        <f t="shared" si="15"/>
        <v>Not Required</v>
      </c>
      <c r="K134" s="145">
        <f t="shared" si="16"/>
        <v>1</v>
      </c>
      <c r="L134" s="144" t="str">
        <f t="shared" si="17"/>
        <v>Not Required</v>
      </c>
      <c r="M134" s="145">
        <f t="shared" si="18"/>
        <v>1</v>
      </c>
      <c r="N134" s="144" t="str">
        <f t="shared" si="19"/>
        <v>Not Required</v>
      </c>
      <c r="O134" s="52" t="s">
        <v>529</v>
      </c>
    </row>
    <row r="135" spans="1:15" ht="15.75" hidden="1" customHeight="1" outlineLevel="1" x14ac:dyDescent="0.25">
      <c r="A135" s="249"/>
      <c r="B135" s="46" t="s">
        <v>85</v>
      </c>
      <c r="C135" s="23" t="s">
        <v>266</v>
      </c>
      <c r="D135" s="29" t="s">
        <v>772</v>
      </c>
      <c r="E135" s="145">
        <f t="shared" si="10"/>
        <v>1</v>
      </c>
      <c r="F135" s="144" t="str">
        <f t="shared" si="11"/>
        <v>Not Required</v>
      </c>
      <c r="G135" s="145">
        <f t="shared" si="12"/>
        <v>3</v>
      </c>
      <c r="H135" s="144" t="str">
        <f t="shared" si="13"/>
        <v>Not Required</v>
      </c>
      <c r="I135" s="145">
        <f t="shared" si="14"/>
        <v>1</v>
      </c>
      <c r="J135" s="144" t="str">
        <f t="shared" si="15"/>
        <v>Not Required</v>
      </c>
      <c r="K135" s="145">
        <f t="shared" si="16"/>
        <v>1</v>
      </c>
      <c r="L135" s="144" t="str">
        <f t="shared" si="17"/>
        <v>Not Required</v>
      </c>
      <c r="M135" s="145">
        <f t="shared" si="18"/>
        <v>1</v>
      </c>
      <c r="N135" s="144" t="str">
        <f t="shared" si="19"/>
        <v>Not Required</v>
      </c>
      <c r="O135" s="52" t="s">
        <v>530</v>
      </c>
    </row>
    <row r="136" spans="1:15" ht="15.75" hidden="1" customHeight="1" outlineLevel="1" x14ac:dyDescent="0.25">
      <c r="A136" s="249"/>
      <c r="B136" s="46" t="s">
        <v>85</v>
      </c>
      <c r="C136" s="23" t="s">
        <v>267</v>
      </c>
      <c r="D136" s="29" t="s">
        <v>772</v>
      </c>
      <c r="E136" s="145">
        <f t="shared" ref="E136:E199" si="20">IF($C136&lt;&gt;"",VLOOKUP($C136,Skills_DB,MATCH(F$5&amp;E$3,SkillRoles,0),0),"")</f>
        <v>1</v>
      </c>
      <c r="F136" s="144" t="str">
        <f t="shared" ref="F136:F199" si="21">$D136</f>
        <v>Not Required</v>
      </c>
      <c r="G136" s="145">
        <f t="shared" ref="G136:G199" si="22">IF($C136&lt;&gt;"",VLOOKUP($C136,Skills_DB,MATCH(H$5&amp;G$3,SkillRoles,0),0),"")</f>
        <v>3</v>
      </c>
      <c r="H136" s="144" t="str">
        <f t="shared" ref="H136:H199" si="23">$D136</f>
        <v>Not Required</v>
      </c>
      <c r="I136" s="145">
        <f t="shared" ref="I136:I199" si="24">IF($C136&lt;&gt;"",VLOOKUP($C136,Skills_DB,MATCH(J$5&amp;I$3,SkillRoles,0),0),"")</f>
        <v>1</v>
      </c>
      <c r="J136" s="144" t="str">
        <f t="shared" ref="J136:J199" si="25">$D136</f>
        <v>Not Required</v>
      </c>
      <c r="K136" s="145">
        <f t="shared" ref="K136:K199" si="26">IF($C136&lt;&gt;"",VLOOKUP($C136,Skills_DB,MATCH(L$5&amp;K$3,SkillRoles,0),0),"")</f>
        <v>1</v>
      </c>
      <c r="L136" s="144" t="str">
        <f t="shared" ref="L136:L199" si="27">$D136</f>
        <v>Not Required</v>
      </c>
      <c r="M136" s="145">
        <f t="shared" ref="M136:M199" si="28">IF($C136&lt;&gt;"",VLOOKUP($C136,Skills_DB,MATCH(N$5&amp;M$3,SkillRoles,0),0),"")</f>
        <v>1</v>
      </c>
      <c r="N136" s="144" t="str">
        <f t="shared" ref="N136:N199" si="29">$D136</f>
        <v>Not Required</v>
      </c>
      <c r="O136" s="52" t="s">
        <v>531</v>
      </c>
    </row>
    <row r="137" spans="1:15" ht="15.75" hidden="1" customHeight="1" outlineLevel="1" x14ac:dyDescent="0.25">
      <c r="A137" s="249"/>
      <c r="B137" s="46" t="s">
        <v>85</v>
      </c>
      <c r="C137" s="23" t="s">
        <v>268</v>
      </c>
      <c r="D137" s="29" t="s">
        <v>772</v>
      </c>
      <c r="E137" s="145">
        <f t="shared" si="20"/>
        <v>1</v>
      </c>
      <c r="F137" s="144" t="str">
        <f t="shared" si="21"/>
        <v>Not Required</v>
      </c>
      <c r="G137" s="145">
        <f t="shared" si="22"/>
        <v>3</v>
      </c>
      <c r="H137" s="144" t="str">
        <f t="shared" si="23"/>
        <v>Not Required</v>
      </c>
      <c r="I137" s="145">
        <f t="shared" si="24"/>
        <v>1</v>
      </c>
      <c r="J137" s="144" t="str">
        <f t="shared" si="25"/>
        <v>Not Required</v>
      </c>
      <c r="K137" s="145">
        <f t="shared" si="26"/>
        <v>1</v>
      </c>
      <c r="L137" s="144" t="str">
        <f t="shared" si="27"/>
        <v>Not Required</v>
      </c>
      <c r="M137" s="145">
        <f t="shared" si="28"/>
        <v>1</v>
      </c>
      <c r="N137" s="144" t="str">
        <f t="shared" si="29"/>
        <v>Not Required</v>
      </c>
      <c r="O137" s="52" t="s">
        <v>532</v>
      </c>
    </row>
    <row r="138" spans="1:15" ht="15.75" hidden="1" customHeight="1" outlineLevel="1" x14ac:dyDescent="0.25">
      <c r="A138" s="249"/>
      <c r="B138" s="46" t="s">
        <v>85</v>
      </c>
      <c r="C138" s="23" t="s">
        <v>269</v>
      </c>
      <c r="D138" s="29" t="s">
        <v>772</v>
      </c>
      <c r="E138" s="145">
        <f t="shared" si="20"/>
        <v>1</v>
      </c>
      <c r="F138" s="144" t="str">
        <f t="shared" si="21"/>
        <v>Not Required</v>
      </c>
      <c r="G138" s="145">
        <f t="shared" si="22"/>
        <v>3</v>
      </c>
      <c r="H138" s="144" t="str">
        <f t="shared" si="23"/>
        <v>Not Required</v>
      </c>
      <c r="I138" s="145">
        <f t="shared" si="24"/>
        <v>1</v>
      </c>
      <c r="J138" s="144" t="str">
        <f t="shared" si="25"/>
        <v>Not Required</v>
      </c>
      <c r="K138" s="145">
        <f t="shared" si="26"/>
        <v>1</v>
      </c>
      <c r="L138" s="144" t="str">
        <f t="shared" si="27"/>
        <v>Not Required</v>
      </c>
      <c r="M138" s="145">
        <f t="shared" si="28"/>
        <v>1</v>
      </c>
      <c r="N138" s="144" t="str">
        <f t="shared" si="29"/>
        <v>Not Required</v>
      </c>
      <c r="O138" s="52" t="s">
        <v>533</v>
      </c>
    </row>
    <row r="139" spans="1:15" ht="15.75" collapsed="1" x14ac:dyDescent="0.25">
      <c r="A139" s="249"/>
      <c r="B139" s="45" t="s">
        <v>775</v>
      </c>
      <c r="C139" s="21"/>
      <c r="D139" s="109" t="s">
        <v>772</v>
      </c>
      <c r="E139" s="145" t="str">
        <f t="shared" si="20"/>
        <v/>
      </c>
      <c r="F139" s="144" t="str">
        <f t="shared" si="21"/>
        <v>Not Required</v>
      </c>
      <c r="G139" s="145" t="str">
        <f t="shared" si="22"/>
        <v/>
      </c>
      <c r="H139" s="144" t="str">
        <f t="shared" si="23"/>
        <v>Not Required</v>
      </c>
      <c r="I139" s="145" t="str">
        <f t="shared" si="24"/>
        <v/>
      </c>
      <c r="J139" s="144" t="str">
        <f t="shared" si="25"/>
        <v>Not Required</v>
      </c>
      <c r="K139" s="145" t="str">
        <f t="shared" si="26"/>
        <v/>
      </c>
      <c r="L139" s="144" t="str">
        <f t="shared" si="27"/>
        <v>Not Required</v>
      </c>
      <c r="M139" s="145" t="str">
        <f t="shared" si="28"/>
        <v/>
      </c>
      <c r="N139" s="144" t="str">
        <f t="shared" si="29"/>
        <v>Not Required</v>
      </c>
      <c r="O139" s="52"/>
    </row>
    <row r="140" spans="1:15" ht="15.75" hidden="1" customHeight="1" outlineLevel="1" x14ac:dyDescent="0.25">
      <c r="A140" s="249"/>
      <c r="B140" s="46" t="s">
        <v>775</v>
      </c>
      <c r="C140" s="23" t="s">
        <v>543</v>
      </c>
      <c r="D140" s="29" t="s">
        <v>772</v>
      </c>
      <c r="E140" s="145">
        <f t="shared" si="20"/>
        <v>1</v>
      </c>
      <c r="F140" s="144" t="str">
        <f t="shared" si="21"/>
        <v>Not Required</v>
      </c>
      <c r="G140" s="145">
        <f t="shared" si="22"/>
        <v>3</v>
      </c>
      <c r="H140" s="144" t="str">
        <f t="shared" si="23"/>
        <v>Not Required</v>
      </c>
      <c r="I140" s="145">
        <f t="shared" si="24"/>
        <v>1</v>
      </c>
      <c r="J140" s="144" t="str">
        <f t="shared" si="25"/>
        <v>Not Required</v>
      </c>
      <c r="K140" s="145">
        <f t="shared" si="26"/>
        <v>1</v>
      </c>
      <c r="L140" s="144" t="str">
        <f t="shared" si="27"/>
        <v>Not Required</v>
      </c>
      <c r="M140" s="145">
        <f t="shared" si="28"/>
        <v>1</v>
      </c>
      <c r="N140" s="144" t="str">
        <f t="shared" si="29"/>
        <v>Not Required</v>
      </c>
      <c r="O140" s="52" t="s">
        <v>534</v>
      </c>
    </row>
    <row r="141" spans="1:15" ht="15.75" hidden="1" customHeight="1" outlineLevel="1" x14ac:dyDescent="0.25">
      <c r="A141" s="249"/>
      <c r="B141" s="46" t="s">
        <v>775</v>
      </c>
      <c r="C141" s="23" t="s">
        <v>545</v>
      </c>
      <c r="D141" s="29" t="s">
        <v>772</v>
      </c>
      <c r="E141" s="145">
        <f t="shared" si="20"/>
        <v>1</v>
      </c>
      <c r="F141" s="144" t="str">
        <f t="shared" si="21"/>
        <v>Not Required</v>
      </c>
      <c r="G141" s="145">
        <f t="shared" si="22"/>
        <v>3</v>
      </c>
      <c r="H141" s="144" t="str">
        <f t="shared" si="23"/>
        <v>Not Required</v>
      </c>
      <c r="I141" s="145">
        <f t="shared" si="24"/>
        <v>1</v>
      </c>
      <c r="J141" s="144" t="str">
        <f t="shared" si="25"/>
        <v>Not Required</v>
      </c>
      <c r="K141" s="145">
        <f t="shared" si="26"/>
        <v>1</v>
      </c>
      <c r="L141" s="144" t="str">
        <f t="shared" si="27"/>
        <v>Not Required</v>
      </c>
      <c r="M141" s="145">
        <f t="shared" si="28"/>
        <v>1</v>
      </c>
      <c r="N141" s="144" t="str">
        <f t="shared" si="29"/>
        <v>Not Required</v>
      </c>
      <c r="O141" s="52" t="s">
        <v>535</v>
      </c>
    </row>
    <row r="142" spans="1:15" ht="15.75" hidden="1" customHeight="1" outlineLevel="1" x14ac:dyDescent="0.25">
      <c r="A142" s="249"/>
      <c r="B142" s="46" t="s">
        <v>775</v>
      </c>
      <c r="C142" s="23" t="s">
        <v>547</v>
      </c>
      <c r="D142" s="29" t="s">
        <v>772</v>
      </c>
      <c r="E142" s="145">
        <f t="shared" si="20"/>
        <v>1</v>
      </c>
      <c r="F142" s="144" t="str">
        <f t="shared" si="21"/>
        <v>Not Required</v>
      </c>
      <c r="G142" s="145">
        <f t="shared" si="22"/>
        <v>3</v>
      </c>
      <c r="H142" s="144" t="str">
        <f t="shared" si="23"/>
        <v>Not Required</v>
      </c>
      <c r="I142" s="145">
        <f t="shared" si="24"/>
        <v>1</v>
      </c>
      <c r="J142" s="144" t="str">
        <f t="shared" si="25"/>
        <v>Not Required</v>
      </c>
      <c r="K142" s="145">
        <f t="shared" si="26"/>
        <v>1</v>
      </c>
      <c r="L142" s="144" t="str">
        <f t="shared" si="27"/>
        <v>Not Required</v>
      </c>
      <c r="M142" s="145">
        <f t="shared" si="28"/>
        <v>1</v>
      </c>
      <c r="N142" s="144" t="str">
        <f t="shared" si="29"/>
        <v>Not Required</v>
      </c>
      <c r="O142" s="52" t="s">
        <v>536</v>
      </c>
    </row>
    <row r="143" spans="1:15" ht="15.75" hidden="1" customHeight="1" outlineLevel="1" x14ac:dyDescent="0.25">
      <c r="A143" s="249"/>
      <c r="B143" s="46" t="s">
        <v>775</v>
      </c>
      <c r="C143" s="23" t="s">
        <v>549</v>
      </c>
      <c r="D143" s="29" t="s">
        <v>772</v>
      </c>
      <c r="E143" s="145">
        <f t="shared" si="20"/>
        <v>1</v>
      </c>
      <c r="F143" s="144" t="str">
        <f t="shared" si="21"/>
        <v>Not Required</v>
      </c>
      <c r="G143" s="145">
        <f t="shared" si="22"/>
        <v>3</v>
      </c>
      <c r="H143" s="144" t="str">
        <f t="shared" si="23"/>
        <v>Not Required</v>
      </c>
      <c r="I143" s="145">
        <f t="shared" si="24"/>
        <v>1</v>
      </c>
      <c r="J143" s="144" t="str">
        <f t="shared" si="25"/>
        <v>Not Required</v>
      </c>
      <c r="K143" s="145">
        <f t="shared" si="26"/>
        <v>1</v>
      </c>
      <c r="L143" s="144" t="str">
        <f t="shared" si="27"/>
        <v>Not Required</v>
      </c>
      <c r="M143" s="145">
        <f t="shared" si="28"/>
        <v>1</v>
      </c>
      <c r="N143" s="144" t="str">
        <f t="shared" si="29"/>
        <v>Not Required</v>
      </c>
      <c r="O143" s="52" t="s">
        <v>537</v>
      </c>
    </row>
    <row r="144" spans="1:15" ht="15.75" hidden="1" customHeight="1" outlineLevel="1" x14ac:dyDescent="0.25">
      <c r="A144" s="249"/>
      <c r="B144" s="46" t="s">
        <v>775</v>
      </c>
      <c r="C144" s="23" t="s">
        <v>551</v>
      </c>
      <c r="D144" s="29" t="s">
        <v>772</v>
      </c>
      <c r="E144" s="145">
        <f t="shared" si="20"/>
        <v>1</v>
      </c>
      <c r="F144" s="144" t="str">
        <f t="shared" si="21"/>
        <v>Not Required</v>
      </c>
      <c r="G144" s="145">
        <f t="shared" si="22"/>
        <v>3</v>
      </c>
      <c r="H144" s="144" t="str">
        <f t="shared" si="23"/>
        <v>Not Required</v>
      </c>
      <c r="I144" s="145">
        <f t="shared" si="24"/>
        <v>1</v>
      </c>
      <c r="J144" s="144" t="str">
        <f t="shared" si="25"/>
        <v>Not Required</v>
      </c>
      <c r="K144" s="145">
        <f t="shared" si="26"/>
        <v>1</v>
      </c>
      <c r="L144" s="144" t="str">
        <f t="shared" si="27"/>
        <v>Not Required</v>
      </c>
      <c r="M144" s="145">
        <f t="shared" si="28"/>
        <v>1</v>
      </c>
      <c r="N144" s="144" t="str">
        <f t="shared" si="29"/>
        <v>Not Required</v>
      </c>
      <c r="O144" s="52" t="s">
        <v>538</v>
      </c>
    </row>
    <row r="145" spans="1:15" ht="15.75" hidden="1" customHeight="1" outlineLevel="1" x14ac:dyDescent="0.25">
      <c r="A145" s="249"/>
      <c r="B145" s="46" t="s">
        <v>775</v>
      </c>
      <c r="C145" s="23" t="s">
        <v>540</v>
      </c>
      <c r="D145" s="29" t="s">
        <v>772</v>
      </c>
      <c r="E145" s="145">
        <f t="shared" si="20"/>
        <v>1</v>
      </c>
      <c r="F145" s="144" t="str">
        <f t="shared" si="21"/>
        <v>Not Required</v>
      </c>
      <c r="G145" s="145">
        <f t="shared" si="22"/>
        <v>3</v>
      </c>
      <c r="H145" s="144" t="str">
        <f t="shared" si="23"/>
        <v>Not Required</v>
      </c>
      <c r="I145" s="145">
        <f t="shared" si="24"/>
        <v>1</v>
      </c>
      <c r="J145" s="144" t="str">
        <f t="shared" si="25"/>
        <v>Not Required</v>
      </c>
      <c r="K145" s="145">
        <f t="shared" si="26"/>
        <v>1</v>
      </c>
      <c r="L145" s="144" t="str">
        <f t="shared" si="27"/>
        <v>Not Required</v>
      </c>
      <c r="M145" s="145">
        <f t="shared" si="28"/>
        <v>1</v>
      </c>
      <c r="N145" s="144" t="str">
        <f t="shared" si="29"/>
        <v>Not Required</v>
      </c>
      <c r="O145" s="52" t="s">
        <v>539</v>
      </c>
    </row>
    <row r="146" spans="1:15" ht="15.75" hidden="1" customHeight="1" outlineLevel="1" x14ac:dyDescent="0.25">
      <c r="A146" s="249"/>
      <c r="B146" s="46" t="s">
        <v>775</v>
      </c>
      <c r="C146" s="23" t="s">
        <v>270</v>
      </c>
      <c r="D146" s="29" t="s">
        <v>772</v>
      </c>
      <c r="E146" s="145">
        <f t="shared" si="20"/>
        <v>1</v>
      </c>
      <c r="F146" s="144" t="str">
        <f t="shared" si="21"/>
        <v>Not Required</v>
      </c>
      <c r="G146" s="145">
        <f t="shared" si="22"/>
        <v>3</v>
      </c>
      <c r="H146" s="144" t="str">
        <f t="shared" si="23"/>
        <v>Not Required</v>
      </c>
      <c r="I146" s="145">
        <f t="shared" si="24"/>
        <v>1</v>
      </c>
      <c r="J146" s="144" t="str">
        <f t="shared" si="25"/>
        <v>Not Required</v>
      </c>
      <c r="K146" s="145">
        <f t="shared" si="26"/>
        <v>1</v>
      </c>
      <c r="L146" s="144" t="str">
        <f t="shared" si="27"/>
        <v>Not Required</v>
      </c>
      <c r="M146" s="145">
        <f t="shared" si="28"/>
        <v>1</v>
      </c>
      <c r="N146" s="144" t="str">
        <f t="shared" si="29"/>
        <v>Not Required</v>
      </c>
      <c r="O146" s="52" t="s">
        <v>541</v>
      </c>
    </row>
    <row r="147" spans="1:15" ht="15.75" hidden="1" customHeight="1" outlineLevel="1" x14ac:dyDescent="0.25">
      <c r="A147" s="249"/>
      <c r="B147" s="46" t="s">
        <v>775</v>
      </c>
      <c r="C147" s="23" t="s">
        <v>553</v>
      </c>
      <c r="D147" s="29" t="s">
        <v>772</v>
      </c>
      <c r="E147" s="145">
        <f t="shared" si="20"/>
        <v>1</v>
      </c>
      <c r="F147" s="144" t="str">
        <f t="shared" si="21"/>
        <v>Not Required</v>
      </c>
      <c r="G147" s="145">
        <f t="shared" si="22"/>
        <v>3</v>
      </c>
      <c r="H147" s="144" t="str">
        <f t="shared" si="23"/>
        <v>Not Required</v>
      </c>
      <c r="I147" s="145">
        <f t="shared" si="24"/>
        <v>1</v>
      </c>
      <c r="J147" s="144" t="str">
        <f t="shared" si="25"/>
        <v>Not Required</v>
      </c>
      <c r="K147" s="145">
        <f t="shared" si="26"/>
        <v>1</v>
      </c>
      <c r="L147" s="144" t="str">
        <f t="shared" si="27"/>
        <v>Not Required</v>
      </c>
      <c r="M147" s="145">
        <f t="shared" si="28"/>
        <v>1</v>
      </c>
      <c r="N147" s="144" t="str">
        <f t="shared" si="29"/>
        <v>Not Required</v>
      </c>
      <c r="O147" s="52" t="s">
        <v>542</v>
      </c>
    </row>
    <row r="148" spans="1:15" ht="15.75" collapsed="1" x14ac:dyDescent="0.25">
      <c r="A148" s="249"/>
      <c r="B148" s="45" t="s">
        <v>776</v>
      </c>
      <c r="C148" s="21"/>
      <c r="D148" s="109" t="s">
        <v>772</v>
      </c>
      <c r="E148" s="145" t="str">
        <f t="shared" si="20"/>
        <v/>
      </c>
      <c r="F148" s="144" t="str">
        <f t="shared" si="21"/>
        <v>Not Required</v>
      </c>
      <c r="G148" s="145" t="str">
        <f t="shared" si="22"/>
        <v/>
      </c>
      <c r="H148" s="144" t="str">
        <f t="shared" si="23"/>
        <v>Not Required</v>
      </c>
      <c r="I148" s="145" t="str">
        <f t="shared" si="24"/>
        <v/>
      </c>
      <c r="J148" s="144" t="str">
        <f t="shared" si="25"/>
        <v>Not Required</v>
      </c>
      <c r="K148" s="145" t="str">
        <f t="shared" si="26"/>
        <v/>
      </c>
      <c r="L148" s="144" t="str">
        <f t="shared" si="27"/>
        <v>Not Required</v>
      </c>
      <c r="M148" s="145" t="str">
        <f t="shared" si="28"/>
        <v/>
      </c>
      <c r="N148" s="144" t="str">
        <f t="shared" si="29"/>
        <v>Not Required</v>
      </c>
      <c r="O148" s="52"/>
    </row>
    <row r="149" spans="1:15" ht="15.75" hidden="1" customHeight="1" outlineLevel="1" x14ac:dyDescent="0.25">
      <c r="A149" s="249"/>
      <c r="B149" s="46" t="s">
        <v>776</v>
      </c>
      <c r="C149" s="23" t="s">
        <v>653</v>
      </c>
      <c r="D149" s="29" t="s">
        <v>772</v>
      </c>
      <c r="E149" s="145">
        <f t="shared" si="20"/>
        <v>1</v>
      </c>
      <c r="F149" s="144" t="str">
        <f t="shared" si="21"/>
        <v>Not Required</v>
      </c>
      <c r="G149" s="145">
        <f t="shared" si="22"/>
        <v>3</v>
      </c>
      <c r="H149" s="144" t="str">
        <f t="shared" si="23"/>
        <v>Not Required</v>
      </c>
      <c r="I149" s="145">
        <f t="shared" si="24"/>
        <v>1</v>
      </c>
      <c r="J149" s="144" t="str">
        <f t="shared" si="25"/>
        <v>Not Required</v>
      </c>
      <c r="K149" s="145">
        <f t="shared" si="26"/>
        <v>1</v>
      </c>
      <c r="L149" s="144" t="str">
        <f t="shared" si="27"/>
        <v>Not Required</v>
      </c>
      <c r="M149" s="145">
        <f t="shared" si="28"/>
        <v>1</v>
      </c>
      <c r="N149" s="144" t="str">
        <f t="shared" si="29"/>
        <v>Not Required</v>
      </c>
      <c r="O149" s="52" t="s">
        <v>534</v>
      </c>
    </row>
    <row r="150" spans="1:15" ht="15.75" hidden="1" customHeight="1" outlineLevel="1" x14ac:dyDescent="0.25">
      <c r="A150" s="249"/>
      <c r="B150" s="46" t="s">
        <v>776</v>
      </c>
      <c r="C150" s="23" t="s">
        <v>777</v>
      </c>
      <c r="D150" s="29" t="s">
        <v>772</v>
      </c>
      <c r="E150" s="145">
        <f t="shared" si="20"/>
        <v>1</v>
      </c>
      <c r="F150" s="144" t="str">
        <f t="shared" si="21"/>
        <v>Not Required</v>
      </c>
      <c r="G150" s="145">
        <f t="shared" si="22"/>
        <v>3</v>
      </c>
      <c r="H150" s="144" t="str">
        <f t="shared" si="23"/>
        <v>Not Required</v>
      </c>
      <c r="I150" s="145">
        <f t="shared" si="24"/>
        <v>1</v>
      </c>
      <c r="J150" s="144" t="str">
        <f t="shared" si="25"/>
        <v>Not Required</v>
      </c>
      <c r="K150" s="145">
        <f t="shared" si="26"/>
        <v>1</v>
      </c>
      <c r="L150" s="144" t="str">
        <f t="shared" si="27"/>
        <v>Not Required</v>
      </c>
      <c r="M150" s="145">
        <f t="shared" si="28"/>
        <v>1</v>
      </c>
      <c r="N150" s="144" t="str">
        <f t="shared" si="29"/>
        <v>Not Required</v>
      </c>
      <c r="O150" s="52" t="s">
        <v>535</v>
      </c>
    </row>
    <row r="151" spans="1:15" ht="15.75" hidden="1" customHeight="1" outlineLevel="1" x14ac:dyDescent="0.25">
      <c r="A151" s="249"/>
      <c r="B151" s="46" t="s">
        <v>776</v>
      </c>
      <c r="C151" s="23" t="s">
        <v>778</v>
      </c>
      <c r="D151" s="29" t="s">
        <v>772</v>
      </c>
      <c r="E151" s="145">
        <f t="shared" si="20"/>
        <v>1</v>
      </c>
      <c r="F151" s="144" t="str">
        <f t="shared" si="21"/>
        <v>Not Required</v>
      </c>
      <c r="G151" s="145">
        <f t="shared" si="22"/>
        <v>3</v>
      </c>
      <c r="H151" s="144" t="str">
        <f t="shared" si="23"/>
        <v>Not Required</v>
      </c>
      <c r="I151" s="145">
        <f t="shared" si="24"/>
        <v>1</v>
      </c>
      <c r="J151" s="144" t="str">
        <f t="shared" si="25"/>
        <v>Not Required</v>
      </c>
      <c r="K151" s="145">
        <f t="shared" si="26"/>
        <v>1</v>
      </c>
      <c r="L151" s="144" t="str">
        <f t="shared" si="27"/>
        <v>Not Required</v>
      </c>
      <c r="M151" s="145">
        <f t="shared" si="28"/>
        <v>1</v>
      </c>
      <c r="N151" s="144" t="str">
        <f t="shared" si="29"/>
        <v>Not Required</v>
      </c>
      <c r="O151" s="52" t="s">
        <v>536</v>
      </c>
    </row>
    <row r="152" spans="1:15" ht="15.75" hidden="1" customHeight="1" outlineLevel="1" x14ac:dyDescent="0.25">
      <c r="A152" s="249"/>
      <c r="B152" s="46" t="s">
        <v>776</v>
      </c>
      <c r="C152" s="23" t="s">
        <v>779</v>
      </c>
      <c r="D152" s="29" t="s">
        <v>772</v>
      </c>
      <c r="E152" s="145">
        <f t="shared" si="20"/>
        <v>1</v>
      </c>
      <c r="F152" s="144" t="str">
        <f t="shared" si="21"/>
        <v>Not Required</v>
      </c>
      <c r="G152" s="145">
        <f t="shared" si="22"/>
        <v>3</v>
      </c>
      <c r="H152" s="144" t="str">
        <f t="shared" si="23"/>
        <v>Not Required</v>
      </c>
      <c r="I152" s="145">
        <f t="shared" si="24"/>
        <v>1</v>
      </c>
      <c r="J152" s="144" t="str">
        <f t="shared" si="25"/>
        <v>Not Required</v>
      </c>
      <c r="K152" s="145">
        <f t="shared" si="26"/>
        <v>1</v>
      </c>
      <c r="L152" s="144" t="str">
        <f t="shared" si="27"/>
        <v>Not Required</v>
      </c>
      <c r="M152" s="145">
        <f t="shared" si="28"/>
        <v>1</v>
      </c>
      <c r="N152" s="144" t="str">
        <f t="shared" si="29"/>
        <v>Not Required</v>
      </c>
      <c r="O152" s="52" t="s">
        <v>537</v>
      </c>
    </row>
    <row r="153" spans="1:15" ht="15.75" hidden="1" customHeight="1" outlineLevel="1" x14ac:dyDescent="0.25">
      <c r="A153" s="249"/>
      <c r="B153" s="46" t="s">
        <v>776</v>
      </c>
      <c r="C153" s="23" t="s">
        <v>780</v>
      </c>
      <c r="D153" s="29" t="s">
        <v>772</v>
      </c>
      <c r="E153" s="145">
        <f t="shared" si="20"/>
        <v>1</v>
      </c>
      <c r="F153" s="144" t="str">
        <f t="shared" si="21"/>
        <v>Not Required</v>
      </c>
      <c r="G153" s="145">
        <f t="shared" si="22"/>
        <v>3</v>
      </c>
      <c r="H153" s="144" t="str">
        <f t="shared" si="23"/>
        <v>Not Required</v>
      </c>
      <c r="I153" s="145">
        <f t="shared" si="24"/>
        <v>1</v>
      </c>
      <c r="J153" s="144" t="str">
        <f t="shared" si="25"/>
        <v>Not Required</v>
      </c>
      <c r="K153" s="145">
        <f t="shared" si="26"/>
        <v>1</v>
      </c>
      <c r="L153" s="144" t="str">
        <f t="shared" si="27"/>
        <v>Not Required</v>
      </c>
      <c r="M153" s="145">
        <f t="shared" si="28"/>
        <v>1</v>
      </c>
      <c r="N153" s="144" t="str">
        <f t="shared" si="29"/>
        <v>Not Required</v>
      </c>
      <c r="O153" s="52" t="s">
        <v>538</v>
      </c>
    </row>
    <row r="154" spans="1:15" ht="15.75" hidden="1" customHeight="1" outlineLevel="1" x14ac:dyDescent="0.25">
      <c r="A154" s="249"/>
      <c r="B154" s="46" t="s">
        <v>776</v>
      </c>
      <c r="C154" s="23" t="s">
        <v>781</v>
      </c>
      <c r="D154" s="29" t="s">
        <v>772</v>
      </c>
      <c r="E154" s="145">
        <f t="shared" si="20"/>
        <v>1</v>
      </c>
      <c r="F154" s="144" t="str">
        <f t="shared" si="21"/>
        <v>Not Required</v>
      </c>
      <c r="G154" s="145">
        <f t="shared" si="22"/>
        <v>3</v>
      </c>
      <c r="H154" s="144" t="str">
        <f t="shared" si="23"/>
        <v>Not Required</v>
      </c>
      <c r="I154" s="145">
        <f t="shared" si="24"/>
        <v>1</v>
      </c>
      <c r="J154" s="144" t="str">
        <f t="shared" si="25"/>
        <v>Not Required</v>
      </c>
      <c r="K154" s="145">
        <f t="shared" si="26"/>
        <v>1</v>
      </c>
      <c r="L154" s="144" t="str">
        <f t="shared" si="27"/>
        <v>Not Required</v>
      </c>
      <c r="M154" s="145">
        <f t="shared" si="28"/>
        <v>1</v>
      </c>
      <c r="N154" s="144" t="str">
        <f t="shared" si="29"/>
        <v>Not Required</v>
      </c>
      <c r="O154" s="52" t="s">
        <v>539</v>
      </c>
    </row>
    <row r="155" spans="1:15" ht="15.75" hidden="1" customHeight="1" outlineLevel="1" x14ac:dyDescent="0.25">
      <c r="A155" s="249"/>
      <c r="B155" s="46" t="s">
        <v>776</v>
      </c>
      <c r="C155" s="23" t="s">
        <v>782</v>
      </c>
      <c r="D155" s="29" t="s">
        <v>772</v>
      </c>
      <c r="E155" s="145">
        <f t="shared" si="20"/>
        <v>1</v>
      </c>
      <c r="F155" s="144" t="str">
        <f t="shared" si="21"/>
        <v>Not Required</v>
      </c>
      <c r="G155" s="145">
        <f t="shared" si="22"/>
        <v>3</v>
      </c>
      <c r="H155" s="144" t="str">
        <f t="shared" si="23"/>
        <v>Not Required</v>
      </c>
      <c r="I155" s="145">
        <f t="shared" si="24"/>
        <v>1</v>
      </c>
      <c r="J155" s="144" t="str">
        <f t="shared" si="25"/>
        <v>Not Required</v>
      </c>
      <c r="K155" s="145">
        <f t="shared" si="26"/>
        <v>1</v>
      </c>
      <c r="L155" s="144" t="str">
        <f t="shared" si="27"/>
        <v>Not Required</v>
      </c>
      <c r="M155" s="145">
        <f t="shared" si="28"/>
        <v>1</v>
      </c>
      <c r="N155" s="144" t="str">
        <f t="shared" si="29"/>
        <v>Not Required</v>
      </c>
      <c r="O155" s="52" t="s">
        <v>541</v>
      </c>
    </row>
    <row r="156" spans="1:15" ht="15.75" hidden="1" customHeight="1" outlineLevel="1" x14ac:dyDescent="0.25">
      <c r="A156" s="249"/>
      <c r="B156" s="46" t="s">
        <v>776</v>
      </c>
      <c r="C156" s="23" t="s">
        <v>783</v>
      </c>
      <c r="D156" s="29" t="s">
        <v>772</v>
      </c>
      <c r="E156" s="145">
        <f t="shared" si="20"/>
        <v>1</v>
      </c>
      <c r="F156" s="144" t="str">
        <f t="shared" si="21"/>
        <v>Not Required</v>
      </c>
      <c r="G156" s="145">
        <f t="shared" si="22"/>
        <v>3</v>
      </c>
      <c r="H156" s="144" t="str">
        <f t="shared" si="23"/>
        <v>Not Required</v>
      </c>
      <c r="I156" s="145">
        <f t="shared" si="24"/>
        <v>1</v>
      </c>
      <c r="J156" s="144" t="str">
        <f t="shared" si="25"/>
        <v>Not Required</v>
      </c>
      <c r="K156" s="145">
        <f t="shared" si="26"/>
        <v>1</v>
      </c>
      <c r="L156" s="144" t="str">
        <f t="shared" si="27"/>
        <v>Not Required</v>
      </c>
      <c r="M156" s="145">
        <f t="shared" si="28"/>
        <v>1</v>
      </c>
      <c r="N156" s="144" t="str">
        <f t="shared" si="29"/>
        <v>Not Required</v>
      </c>
      <c r="O156" s="52" t="s">
        <v>542</v>
      </c>
    </row>
    <row r="157" spans="1:15" ht="15.75" hidden="1" customHeight="1" outlineLevel="1" x14ac:dyDescent="0.25">
      <c r="A157" s="249"/>
      <c r="B157" s="46" t="s">
        <v>776</v>
      </c>
      <c r="C157" s="23" t="s">
        <v>784</v>
      </c>
      <c r="D157" s="29" t="s">
        <v>772</v>
      </c>
      <c r="E157" s="145">
        <f t="shared" si="20"/>
        <v>1</v>
      </c>
      <c r="F157" s="144" t="str">
        <f t="shared" si="21"/>
        <v>Not Required</v>
      </c>
      <c r="G157" s="145">
        <f t="shared" si="22"/>
        <v>3</v>
      </c>
      <c r="H157" s="144" t="str">
        <f t="shared" si="23"/>
        <v>Not Required</v>
      </c>
      <c r="I157" s="145">
        <f t="shared" si="24"/>
        <v>1</v>
      </c>
      <c r="J157" s="144" t="str">
        <f t="shared" si="25"/>
        <v>Not Required</v>
      </c>
      <c r="K157" s="145">
        <f t="shared" si="26"/>
        <v>1</v>
      </c>
      <c r="L157" s="144" t="str">
        <f t="shared" si="27"/>
        <v>Not Required</v>
      </c>
      <c r="M157" s="145">
        <f t="shared" si="28"/>
        <v>1</v>
      </c>
      <c r="N157" s="144" t="str">
        <f t="shared" si="29"/>
        <v>Not Required</v>
      </c>
      <c r="O157" s="52" t="s">
        <v>544</v>
      </c>
    </row>
    <row r="158" spans="1:15" ht="15.75" hidden="1" customHeight="1" outlineLevel="1" x14ac:dyDescent="0.25">
      <c r="A158" s="249"/>
      <c r="B158" s="46" t="s">
        <v>776</v>
      </c>
      <c r="C158" s="23" t="s">
        <v>785</v>
      </c>
      <c r="D158" s="29" t="s">
        <v>772</v>
      </c>
      <c r="E158" s="145">
        <f t="shared" si="20"/>
        <v>1</v>
      </c>
      <c r="F158" s="144" t="str">
        <f t="shared" si="21"/>
        <v>Not Required</v>
      </c>
      <c r="G158" s="145">
        <f t="shared" si="22"/>
        <v>3</v>
      </c>
      <c r="H158" s="144" t="str">
        <f t="shared" si="23"/>
        <v>Not Required</v>
      </c>
      <c r="I158" s="145">
        <f t="shared" si="24"/>
        <v>1</v>
      </c>
      <c r="J158" s="144" t="str">
        <f t="shared" si="25"/>
        <v>Not Required</v>
      </c>
      <c r="K158" s="145">
        <f t="shared" si="26"/>
        <v>1</v>
      </c>
      <c r="L158" s="144" t="str">
        <f t="shared" si="27"/>
        <v>Not Required</v>
      </c>
      <c r="M158" s="145">
        <f t="shared" si="28"/>
        <v>1</v>
      </c>
      <c r="N158" s="144" t="str">
        <f t="shared" si="29"/>
        <v>Not Required</v>
      </c>
      <c r="O158" s="52" t="s">
        <v>546</v>
      </c>
    </row>
    <row r="159" spans="1:15" ht="15.75" hidden="1" customHeight="1" outlineLevel="1" x14ac:dyDescent="0.25">
      <c r="A159" s="249"/>
      <c r="B159" s="46" t="s">
        <v>776</v>
      </c>
      <c r="C159" s="23" t="s">
        <v>786</v>
      </c>
      <c r="D159" s="29" t="s">
        <v>772</v>
      </c>
      <c r="E159" s="145">
        <f t="shared" si="20"/>
        <v>1</v>
      </c>
      <c r="F159" s="144" t="str">
        <f t="shared" si="21"/>
        <v>Not Required</v>
      </c>
      <c r="G159" s="145">
        <f t="shared" si="22"/>
        <v>3</v>
      </c>
      <c r="H159" s="144" t="str">
        <f t="shared" si="23"/>
        <v>Not Required</v>
      </c>
      <c r="I159" s="145">
        <f t="shared" si="24"/>
        <v>1</v>
      </c>
      <c r="J159" s="144" t="str">
        <f t="shared" si="25"/>
        <v>Not Required</v>
      </c>
      <c r="K159" s="145">
        <f t="shared" si="26"/>
        <v>1</v>
      </c>
      <c r="L159" s="144" t="str">
        <f t="shared" si="27"/>
        <v>Not Required</v>
      </c>
      <c r="M159" s="145">
        <f t="shared" si="28"/>
        <v>1</v>
      </c>
      <c r="N159" s="144" t="str">
        <f t="shared" si="29"/>
        <v>Not Required</v>
      </c>
      <c r="O159" s="52" t="s">
        <v>548</v>
      </c>
    </row>
    <row r="160" spans="1:15" ht="15.75" hidden="1" customHeight="1" outlineLevel="1" x14ac:dyDescent="0.25">
      <c r="A160" s="249"/>
      <c r="B160" s="46" t="s">
        <v>776</v>
      </c>
      <c r="C160" s="23" t="s">
        <v>787</v>
      </c>
      <c r="D160" s="29" t="s">
        <v>772</v>
      </c>
      <c r="E160" s="145">
        <f t="shared" si="20"/>
        <v>1</v>
      </c>
      <c r="F160" s="144" t="str">
        <f t="shared" si="21"/>
        <v>Not Required</v>
      </c>
      <c r="G160" s="145">
        <f t="shared" si="22"/>
        <v>3</v>
      </c>
      <c r="H160" s="144" t="str">
        <f t="shared" si="23"/>
        <v>Not Required</v>
      </c>
      <c r="I160" s="145">
        <f t="shared" si="24"/>
        <v>1</v>
      </c>
      <c r="J160" s="144" t="str">
        <f t="shared" si="25"/>
        <v>Not Required</v>
      </c>
      <c r="K160" s="145">
        <f t="shared" si="26"/>
        <v>1</v>
      </c>
      <c r="L160" s="144" t="str">
        <f t="shared" si="27"/>
        <v>Not Required</v>
      </c>
      <c r="M160" s="145">
        <f t="shared" si="28"/>
        <v>1</v>
      </c>
      <c r="N160" s="144" t="str">
        <f t="shared" si="29"/>
        <v>Not Required</v>
      </c>
      <c r="O160" s="52" t="s">
        <v>550</v>
      </c>
    </row>
    <row r="161" spans="1:15" ht="15.75" hidden="1" customHeight="1" outlineLevel="1" x14ac:dyDescent="0.25">
      <c r="A161" s="249"/>
      <c r="B161" s="46" t="s">
        <v>776</v>
      </c>
      <c r="C161" s="23" t="s">
        <v>788</v>
      </c>
      <c r="D161" s="29" t="s">
        <v>772</v>
      </c>
      <c r="E161" s="145">
        <f t="shared" si="20"/>
        <v>1</v>
      </c>
      <c r="F161" s="144" t="str">
        <f t="shared" si="21"/>
        <v>Not Required</v>
      </c>
      <c r="G161" s="145">
        <f t="shared" si="22"/>
        <v>3</v>
      </c>
      <c r="H161" s="144" t="str">
        <f t="shared" si="23"/>
        <v>Not Required</v>
      </c>
      <c r="I161" s="145">
        <f t="shared" si="24"/>
        <v>1</v>
      </c>
      <c r="J161" s="144" t="str">
        <f t="shared" si="25"/>
        <v>Not Required</v>
      </c>
      <c r="K161" s="145">
        <f t="shared" si="26"/>
        <v>1</v>
      </c>
      <c r="L161" s="144" t="str">
        <f t="shared" si="27"/>
        <v>Not Required</v>
      </c>
      <c r="M161" s="145">
        <f t="shared" si="28"/>
        <v>1</v>
      </c>
      <c r="N161" s="144" t="str">
        <f t="shared" si="29"/>
        <v>Not Required</v>
      </c>
      <c r="O161" s="52" t="s">
        <v>552</v>
      </c>
    </row>
    <row r="162" spans="1:15" ht="15.75" hidden="1" customHeight="1" outlineLevel="1" x14ac:dyDescent="0.25">
      <c r="A162" s="249"/>
      <c r="B162" s="46" t="s">
        <v>776</v>
      </c>
      <c r="C162" s="23" t="s">
        <v>789</v>
      </c>
      <c r="D162" s="29" t="s">
        <v>772</v>
      </c>
      <c r="E162" s="145">
        <f t="shared" si="20"/>
        <v>1</v>
      </c>
      <c r="F162" s="144" t="str">
        <f t="shared" si="21"/>
        <v>Not Required</v>
      </c>
      <c r="G162" s="145">
        <f t="shared" si="22"/>
        <v>3</v>
      </c>
      <c r="H162" s="144" t="str">
        <f t="shared" si="23"/>
        <v>Not Required</v>
      </c>
      <c r="I162" s="145">
        <f t="shared" si="24"/>
        <v>1</v>
      </c>
      <c r="J162" s="144" t="str">
        <f t="shared" si="25"/>
        <v>Not Required</v>
      </c>
      <c r="K162" s="145">
        <f t="shared" si="26"/>
        <v>1</v>
      </c>
      <c r="L162" s="144" t="str">
        <f t="shared" si="27"/>
        <v>Not Required</v>
      </c>
      <c r="M162" s="145">
        <f t="shared" si="28"/>
        <v>1</v>
      </c>
      <c r="N162" s="144" t="str">
        <f t="shared" si="29"/>
        <v>Not Required</v>
      </c>
      <c r="O162" s="52" t="s">
        <v>546</v>
      </c>
    </row>
    <row r="163" spans="1:15" ht="15.75" hidden="1" customHeight="1" outlineLevel="1" x14ac:dyDescent="0.25">
      <c r="A163" s="249"/>
      <c r="B163" s="46" t="s">
        <v>776</v>
      </c>
      <c r="C163" s="23" t="s">
        <v>90</v>
      </c>
      <c r="D163" s="29" t="s">
        <v>772</v>
      </c>
      <c r="E163" s="145">
        <f t="shared" si="20"/>
        <v>1</v>
      </c>
      <c r="F163" s="144" t="str">
        <f t="shared" si="21"/>
        <v>Not Required</v>
      </c>
      <c r="G163" s="145">
        <f t="shared" si="22"/>
        <v>3</v>
      </c>
      <c r="H163" s="144" t="str">
        <f t="shared" si="23"/>
        <v>Not Required</v>
      </c>
      <c r="I163" s="145">
        <f t="shared" si="24"/>
        <v>1</v>
      </c>
      <c r="J163" s="144" t="str">
        <f t="shared" si="25"/>
        <v>Not Required</v>
      </c>
      <c r="K163" s="145">
        <f t="shared" si="26"/>
        <v>1</v>
      </c>
      <c r="L163" s="144" t="str">
        <f t="shared" si="27"/>
        <v>Not Required</v>
      </c>
      <c r="M163" s="145">
        <f t="shared" si="28"/>
        <v>1</v>
      </c>
      <c r="N163" s="144" t="str">
        <f t="shared" si="29"/>
        <v>Not Required</v>
      </c>
      <c r="O163" s="52" t="s">
        <v>548</v>
      </c>
    </row>
    <row r="164" spans="1:15" ht="15.75" hidden="1" customHeight="1" outlineLevel="1" x14ac:dyDescent="0.25">
      <c r="A164" s="249"/>
      <c r="B164" s="46" t="s">
        <v>776</v>
      </c>
      <c r="C164" s="23" t="s">
        <v>91</v>
      </c>
      <c r="D164" s="29" t="s">
        <v>772</v>
      </c>
      <c r="E164" s="145">
        <f t="shared" si="20"/>
        <v>1</v>
      </c>
      <c r="F164" s="144" t="str">
        <f t="shared" si="21"/>
        <v>Not Required</v>
      </c>
      <c r="G164" s="145">
        <f t="shared" si="22"/>
        <v>3</v>
      </c>
      <c r="H164" s="144" t="str">
        <f t="shared" si="23"/>
        <v>Not Required</v>
      </c>
      <c r="I164" s="145">
        <f t="shared" si="24"/>
        <v>1</v>
      </c>
      <c r="J164" s="144" t="str">
        <f t="shared" si="25"/>
        <v>Not Required</v>
      </c>
      <c r="K164" s="145">
        <f t="shared" si="26"/>
        <v>1</v>
      </c>
      <c r="L164" s="144" t="str">
        <f t="shared" si="27"/>
        <v>Not Required</v>
      </c>
      <c r="M164" s="145">
        <f t="shared" si="28"/>
        <v>1</v>
      </c>
      <c r="N164" s="144" t="str">
        <f t="shared" si="29"/>
        <v>Not Required</v>
      </c>
      <c r="O164" s="52" t="s">
        <v>550</v>
      </c>
    </row>
    <row r="165" spans="1:15" ht="15.75" hidden="1" customHeight="1" outlineLevel="1" x14ac:dyDescent="0.25">
      <c r="A165" s="249"/>
      <c r="B165" s="46" t="s">
        <v>776</v>
      </c>
      <c r="C165" s="23" t="s">
        <v>92</v>
      </c>
      <c r="D165" s="29" t="s">
        <v>772</v>
      </c>
      <c r="E165" s="145">
        <f t="shared" si="20"/>
        <v>1</v>
      </c>
      <c r="F165" s="144" t="str">
        <f t="shared" si="21"/>
        <v>Not Required</v>
      </c>
      <c r="G165" s="145">
        <f t="shared" si="22"/>
        <v>3</v>
      </c>
      <c r="H165" s="144" t="str">
        <f t="shared" si="23"/>
        <v>Not Required</v>
      </c>
      <c r="I165" s="145">
        <f t="shared" si="24"/>
        <v>1</v>
      </c>
      <c r="J165" s="144" t="str">
        <f t="shared" si="25"/>
        <v>Not Required</v>
      </c>
      <c r="K165" s="145">
        <f t="shared" si="26"/>
        <v>1</v>
      </c>
      <c r="L165" s="144" t="str">
        <f t="shared" si="27"/>
        <v>Not Required</v>
      </c>
      <c r="M165" s="145">
        <f t="shared" si="28"/>
        <v>1</v>
      </c>
      <c r="N165" s="144" t="str">
        <f t="shared" si="29"/>
        <v>Not Required</v>
      </c>
      <c r="O165" s="52" t="s">
        <v>552</v>
      </c>
    </row>
    <row r="166" spans="1:15" ht="15.75" collapsed="1" x14ac:dyDescent="0.25">
      <c r="A166" s="249"/>
      <c r="B166" s="45" t="s">
        <v>736</v>
      </c>
      <c r="C166" s="21"/>
      <c r="D166" s="109" t="s">
        <v>772</v>
      </c>
      <c r="E166" s="145" t="str">
        <f t="shared" si="20"/>
        <v/>
      </c>
      <c r="F166" s="144" t="str">
        <f t="shared" si="21"/>
        <v>Not Required</v>
      </c>
      <c r="G166" s="145" t="str">
        <f t="shared" si="22"/>
        <v/>
      </c>
      <c r="H166" s="144" t="str">
        <f t="shared" si="23"/>
        <v>Not Required</v>
      </c>
      <c r="I166" s="145" t="str">
        <f t="shared" si="24"/>
        <v/>
      </c>
      <c r="J166" s="144" t="str">
        <f t="shared" si="25"/>
        <v>Not Required</v>
      </c>
      <c r="K166" s="145" t="str">
        <f t="shared" si="26"/>
        <v/>
      </c>
      <c r="L166" s="144" t="str">
        <f t="shared" si="27"/>
        <v>Not Required</v>
      </c>
      <c r="M166" s="145" t="str">
        <f t="shared" si="28"/>
        <v/>
      </c>
      <c r="N166" s="144" t="str">
        <f t="shared" si="29"/>
        <v>Not Required</v>
      </c>
      <c r="O166" s="52"/>
    </row>
    <row r="167" spans="1:15" ht="15.75" hidden="1" customHeight="1" outlineLevel="1" x14ac:dyDescent="0.25">
      <c r="A167" s="249"/>
      <c r="B167" s="46" t="s">
        <v>736</v>
      </c>
      <c r="C167" s="23" t="s">
        <v>738</v>
      </c>
      <c r="D167" s="29" t="s">
        <v>772</v>
      </c>
      <c r="E167" s="145">
        <f t="shared" si="20"/>
        <v>1</v>
      </c>
      <c r="F167" s="144" t="str">
        <f t="shared" si="21"/>
        <v>Not Required</v>
      </c>
      <c r="G167" s="145">
        <f t="shared" si="22"/>
        <v>3</v>
      </c>
      <c r="H167" s="144" t="str">
        <f t="shared" si="23"/>
        <v>Not Required</v>
      </c>
      <c r="I167" s="145">
        <f t="shared" si="24"/>
        <v>1</v>
      </c>
      <c r="J167" s="144" t="str">
        <f t="shared" si="25"/>
        <v>Not Required</v>
      </c>
      <c r="K167" s="145">
        <f t="shared" si="26"/>
        <v>1</v>
      </c>
      <c r="L167" s="144" t="str">
        <f t="shared" si="27"/>
        <v>Not Required</v>
      </c>
      <c r="M167" s="145">
        <f t="shared" si="28"/>
        <v>1</v>
      </c>
      <c r="N167" s="144" t="str">
        <f t="shared" si="29"/>
        <v>Not Required</v>
      </c>
      <c r="O167" s="52" t="s">
        <v>554</v>
      </c>
    </row>
    <row r="168" spans="1:15" ht="15.75" hidden="1" customHeight="1" outlineLevel="1" x14ac:dyDescent="0.25">
      <c r="A168" s="249"/>
      <c r="B168" s="46" t="s">
        <v>736</v>
      </c>
      <c r="C168" s="23" t="s">
        <v>739</v>
      </c>
      <c r="D168" s="29" t="s">
        <v>772</v>
      </c>
      <c r="E168" s="145">
        <f t="shared" si="20"/>
        <v>1</v>
      </c>
      <c r="F168" s="144" t="str">
        <f t="shared" si="21"/>
        <v>Not Required</v>
      </c>
      <c r="G168" s="145">
        <f t="shared" si="22"/>
        <v>3</v>
      </c>
      <c r="H168" s="144" t="str">
        <f t="shared" si="23"/>
        <v>Not Required</v>
      </c>
      <c r="I168" s="145">
        <f t="shared" si="24"/>
        <v>1</v>
      </c>
      <c r="J168" s="144" t="str">
        <f t="shared" si="25"/>
        <v>Not Required</v>
      </c>
      <c r="K168" s="145">
        <f t="shared" si="26"/>
        <v>1</v>
      </c>
      <c r="L168" s="144" t="str">
        <f t="shared" si="27"/>
        <v>Not Required</v>
      </c>
      <c r="M168" s="145">
        <f t="shared" si="28"/>
        <v>1</v>
      </c>
      <c r="N168" s="144" t="str">
        <f t="shared" si="29"/>
        <v>Not Required</v>
      </c>
      <c r="O168" s="52" t="s">
        <v>555</v>
      </c>
    </row>
    <row r="169" spans="1:15" ht="15.75" hidden="1" customHeight="1" outlineLevel="1" x14ac:dyDescent="0.25">
      <c r="A169" s="249"/>
      <c r="B169" s="46" t="s">
        <v>736</v>
      </c>
      <c r="C169" s="23" t="s">
        <v>740</v>
      </c>
      <c r="D169" s="29" t="s">
        <v>772</v>
      </c>
      <c r="E169" s="145">
        <f t="shared" si="20"/>
        <v>1</v>
      </c>
      <c r="F169" s="144" t="str">
        <f t="shared" si="21"/>
        <v>Not Required</v>
      </c>
      <c r="G169" s="145">
        <f t="shared" si="22"/>
        <v>3</v>
      </c>
      <c r="H169" s="144" t="str">
        <f t="shared" si="23"/>
        <v>Not Required</v>
      </c>
      <c r="I169" s="145">
        <f t="shared" si="24"/>
        <v>1</v>
      </c>
      <c r="J169" s="144" t="str">
        <f t="shared" si="25"/>
        <v>Not Required</v>
      </c>
      <c r="K169" s="145">
        <f t="shared" si="26"/>
        <v>1</v>
      </c>
      <c r="L169" s="144" t="str">
        <f t="shared" si="27"/>
        <v>Not Required</v>
      </c>
      <c r="M169" s="145">
        <f t="shared" si="28"/>
        <v>1</v>
      </c>
      <c r="N169" s="144" t="str">
        <f t="shared" si="29"/>
        <v>Not Required</v>
      </c>
      <c r="O169" s="52" t="s">
        <v>556</v>
      </c>
    </row>
    <row r="170" spans="1:15" ht="15.75" hidden="1" customHeight="1" outlineLevel="1" x14ac:dyDescent="0.25">
      <c r="A170" s="249"/>
      <c r="B170" s="46" t="s">
        <v>736</v>
      </c>
      <c r="C170" s="23" t="s">
        <v>742</v>
      </c>
      <c r="D170" s="29" t="s">
        <v>772</v>
      </c>
      <c r="E170" s="145">
        <f t="shared" si="20"/>
        <v>1</v>
      </c>
      <c r="F170" s="144" t="str">
        <f t="shared" si="21"/>
        <v>Not Required</v>
      </c>
      <c r="G170" s="145">
        <f t="shared" si="22"/>
        <v>3</v>
      </c>
      <c r="H170" s="144" t="str">
        <f t="shared" si="23"/>
        <v>Not Required</v>
      </c>
      <c r="I170" s="145">
        <f t="shared" si="24"/>
        <v>1</v>
      </c>
      <c r="J170" s="144" t="str">
        <f t="shared" si="25"/>
        <v>Not Required</v>
      </c>
      <c r="K170" s="145">
        <f t="shared" si="26"/>
        <v>1</v>
      </c>
      <c r="L170" s="144" t="str">
        <f t="shared" si="27"/>
        <v>Not Required</v>
      </c>
      <c r="M170" s="145">
        <f t="shared" si="28"/>
        <v>1</v>
      </c>
      <c r="N170" s="144" t="str">
        <f t="shared" si="29"/>
        <v>Not Required</v>
      </c>
      <c r="O170" s="52" t="s">
        <v>557</v>
      </c>
    </row>
    <row r="171" spans="1:15" ht="15.75" hidden="1" customHeight="1" outlineLevel="1" x14ac:dyDescent="0.25">
      <c r="A171" s="249"/>
      <c r="B171" s="46" t="s">
        <v>736</v>
      </c>
      <c r="C171" s="23" t="s">
        <v>744</v>
      </c>
      <c r="D171" s="29" t="s">
        <v>772</v>
      </c>
      <c r="E171" s="145">
        <f t="shared" si="20"/>
        <v>1</v>
      </c>
      <c r="F171" s="144" t="str">
        <f t="shared" si="21"/>
        <v>Not Required</v>
      </c>
      <c r="G171" s="145">
        <f t="shared" si="22"/>
        <v>3</v>
      </c>
      <c r="H171" s="144" t="str">
        <f t="shared" si="23"/>
        <v>Not Required</v>
      </c>
      <c r="I171" s="145">
        <f t="shared" si="24"/>
        <v>1</v>
      </c>
      <c r="J171" s="144" t="str">
        <f t="shared" si="25"/>
        <v>Not Required</v>
      </c>
      <c r="K171" s="145">
        <f t="shared" si="26"/>
        <v>1</v>
      </c>
      <c r="L171" s="144" t="str">
        <f t="shared" si="27"/>
        <v>Not Required</v>
      </c>
      <c r="M171" s="145">
        <f t="shared" si="28"/>
        <v>1</v>
      </c>
      <c r="N171" s="144" t="str">
        <f t="shared" si="29"/>
        <v>Not Required</v>
      </c>
      <c r="O171" s="52" t="s">
        <v>558</v>
      </c>
    </row>
    <row r="172" spans="1:15" ht="15.75" hidden="1" customHeight="1" outlineLevel="1" x14ac:dyDescent="0.25">
      <c r="A172" s="249"/>
      <c r="B172" s="46" t="s">
        <v>736</v>
      </c>
      <c r="C172" s="23" t="s">
        <v>745</v>
      </c>
      <c r="D172" s="29" t="s">
        <v>772</v>
      </c>
      <c r="E172" s="145">
        <f t="shared" si="20"/>
        <v>1</v>
      </c>
      <c r="F172" s="144" t="str">
        <f t="shared" si="21"/>
        <v>Not Required</v>
      </c>
      <c r="G172" s="145">
        <f t="shared" si="22"/>
        <v>3</v>
      </c>
      <c r="H172" s="144" t="str">
        <f t="shared" si="23"/>
        <v>Not Required</v>
      </c>
      <c r="I172" s="145">
        <f t="shared" si="24"/>
        <v>1</v>
      </c>
      <c r="J172" s="144" t="str">
        <f t="shared" si="25"/>
        <v>Not Required</v>
      </c>
      <c r="K172" s="145">
        <f t="shared" si="26"/>
        <v>1</v>
      </c>
      <c r="L172" s="144" t="str">
        <f t="shared" si="27"/>
        <v>Not Required</v>
      </c>
      <c r="M172" s="145">
        <f t="shared" si="28"/>
        <v>1</v>
      </c>
      <c r="N172" s="144" t="str">
        <f t="shared" si="29"/>
        <v>Not Required</v>
      </c>
      <c r="O172" s="52" t="s">
        <v>559</v>
      </c>
    </row>
    <row r="173" spans="1:15" ht="15.75" hidden="1" customHeight="1" outlineLevel="1" x14ac:dyDescent="0.25">
      <c r="A173" s="249"/>
      <c r="B173" s="46" t="s">
        <v>736</v>
      </c>
      <c r="C173" s="23" t="s">
        <v>747</v>
      </c>
      <c r="D173" s="29" t="s">
        <v>772</v>
      </c>
      <c r="E173" s="145">
        <f t="shared" si="20"/>
        <v>1</v>
      </c>
      <c r="F173" s="144" t="str">
        <f t="shared" si="21"/>
        <v>Not Required</v>
      </c>
      <c r="G173" s="145">
        <f t="shared" si="22"/>
        <v>3</v>
      </c>
      <c r="H173" s="144" t="str">
        <f t="shared" si="23"/>
        <v>Not Required</v>
      </c>
      <c r="I173" s="145">
        <f t="shared" si="24"/>
        <v>1</v>
      </c>
      <c r="J173" s="144" t="str">
        <f t="shared" si="25"/>
        <v>Not Required</v>
      </c>
      <c r="K173" s="145">
        <f t="shared" si="26"/>
        <v>1</v>
      </c>
      <c r="L173" s="144" t="str">
        <f t="shared" si="27"/>
        <v>Not Required</v>
      </c>
      <c r="M173" s="145">
        <f t="shared" si="28"/>
        <v>1</v>
      </c>
      <c r="N173" s="144" t="str">
        <f t="shared" si="29"/>
        <v>Not Required</v>
      </c>
      <c r="O173" s="52" t="s">
        <v>560</v>
      </c>
    </row>
    <row r="174" spans="1:15" ht="15.75" hidden="1" customHeight="1" outlineLevel="1" x14ac:dyDescent="0.25">
      <c r="A174" s="249"/>
      <c r="B174" s="46" t="s">
        <v>736</v>
      </c>
      <c r="C174" s="23" t="s">
        <v>748</v>
      </c>
      <c r="D174" s="29" t="s">
        <v>772</v>
      </c>
      <c r="E174" s="145">
        <f t="shared" si="20"/>
        <v>1</v>
      </c>
      <c r="F174" s="144" t="str">
        <f t="shared" si="21"/>
        <v>Not Required</v>
      </c>
      <c r="G174" s="145">
        <f t="shared" si="22"/>
        <v>3</v>
      </c>
      <c r="H174" s="144" t="str">
        <f t="shared" si="23"/>
        <v>Not Required</v>
      </c>
      <c r="I174" s="145">
        <f t="shared" si="24"/>
        <v>1</v>
      </c>
      <c r="J174" s="144" t="str">
        <f t="shared" si="25"/>
        <v>Not Required</v>
      </c>
      <c r="K174" s="145">
        <f t="shared" si="26"/>
        <v>1</v>
      </c>
      <c r="L174" s="144" t="str">
        <f t="shared" si="27"/>
        <v>Not Required</v>
      </c>
      <c r="M174" s="145">
        <f t="shared" si="28"/>
        <v>1</v>
      </c>
      <c r="N174" s="144" t="str">
        <f t="shared" si="29"/>
        <v>Not Required</v>
      </c>
      <c r="O174" s="52" t="s">
        <v>561</v>
      </c>
    </row>
    <row r="175" spans="1:15" ht="15.75" hidden="1" customHeight="1" outlineLevel="1" x14ac:dyDescent="0.25">
      <c r="A175" s="249"/>
      <c r="B175" s="46" t="s">
        <v>736</v>
      </c>
      <c r="C175" s="23" t="s">
        <v>750</v>
      </c>
      <c r="D175" s="29" t="s">
        <v>772</v>
      </c>
      <c r="E175" s="145">
        <f t="shared" si="20"/>
        <v>1</v>
      </c>
      <c r="F175" s="144" t="str">
        <f t="shared" si="21"/>
        <v>Not Required</v>
      </c>
      <c r="G175" s="145">
        <f t="shared" si="22"/>
        <v>3</v>
      </c>
      <c r="H175" s="144" t="str">
        <f t="shared" si="23"/>
        <v>Not Required</v>
      </c>
      <c r="I175" s="145">
        <f t="shared" si="24"/>
        <v>1</v>
      </c>
      <c r="J175" s="144" t="str">
        <f t="shared" si="25"/>
        <v>Not Required</v>
      </c>
      <c r="K175" s="145">
        <f t="shared" si="26"/>
        <v>1</v>
      </c>
      <c r="L175" s="144" t="str">
        <f t="shared" si="27"/>
        <v>Not Required</v>
      </c>
      <c r="M175" s="145">
        <f t="shared" si="28"/>
        <v>1</v>
      </c>
      <c r="N175" s="144" t="str">
        <f t="shared" si="29"/>
        <v>Not Required</v>
      </c>
      <c r="O175" s="52" t="s">
        <v>562</v>
      </c>
    </row>
    <row r="176" spans="1:15" ht="15.75" hidden="1" customHeight="1" outlineLevel="1" x14ac:dyDescent="0.25">
      <c r="A176" s="249"/>
      <c r="B176" s="46" t="s">
        <v>736</v>
      </c>
      <c r="C176" s="23" t="s">
        <v>751</v>
      </c>
      <c r="D176" s="29" t="s">
        <v>772</v>
      </c>
      <c r="E176" s="145">
        <f t="shared" si="20"/>
        <v>1</v>
      </c>
      <c r="F176" s="144" t="str">
        <f t="shared" si="21"/>
        <v>Not Required</v>
      </c>
      <c r="G176" s="145">
        <f t="shared" si="22"/>
        <v>3</v>
      </c>
      <c r="H176" s="144" t="str">
        <f t="shared" si="23"/>
        <v>Not Required</v>
      </c>
      <c r="I176" s="145">
        <f t="shared" si="24"/>
        <v>1</v>
      </c>
      <c r="J176" s="144" t="str">
        <f t="shared" si="25"/>
        <v>Not Required</v>
      </c>
      <c r="K176" s="145">
        <f t="shared" si="26"/>
        <v>1</v>
      </c>
      <c r="L176" s="144" t="str">
        <f t="shared" si="27"/>
        <v>Not Required</v>
      </c>
      <c r="M176" s="145">
        <f t="shared" si="28"/>
        <v>1</v>
      </c>
      <c r="N176" s="144" t="str">
        <f t="shared" si="29"/>
        <v>Not Required</v>
      </c>
      <c r="O176" s="52" t="s">
        <v>563</v>
      </c>
    </row>
    <row r="177" spans="1:15" ht="15.75" hidden="1" customHeight="1" outlineLevel="1" x14ac:dyDescent="0.25">
      <c r="A177" s="249"/>
      <c r="B177" s="46" t="s">
        <v>736</v>
      </c>
      <c r="C177" s="23" t="s">
        <v>752</v>
      </c>
      <c r="D177" s="29" t="s">
        <v>772</v>
      </c>
      <c r="E177" s="145">
        <f t="shared" si="20"/>
        <v>1</v>
      </c>
      <c r="F177" s="144" t="str">
        <f t="shared" si="21"/>
        <v>Not Required</v>
      </c>
      <c r="G177" s="145">
        <f t="shared" si="22"/>
        <v>3</v>
      </c>
      <c r="H177" s="144" t="str">
        <f t="shared" si="23"/>
        <v>Not Required</v>
      </c>
      <c r="I177" s="145">
        <f t="shared" si="24"/>
        <v>1</v>
      </c>
      <c r="J177" s="144" t="str">
        <f t="shared" si="25"/>
        <v>Not Required</v>
      </c>
      <c r="K177" s="145">
        <f t="shared" si="26"/>
        <v>1</v>
      </c>
      <c r="L177" s="144" t="str">
        <f t="shared" si="27"/>
        <v>Not Required</v>
      </c>
      <c r="M177" s="145">
        <f t="shared" si="28"/>
        <v>1</v>
      </c>
      <c r="N177" s="144" t="str">
        <f t="shared" si="29"/>
        <v>Not Required</v>
      </c>
      <c r="O177" s="52" t="s">
        <v>564</v>
      </c>
    </row>
    <row r="178" spans="1:15" ht="15.75" collapsed="1" x14ac:dyDescent="0.25">
      <c r="A178" s="249"/>
      <c r="B178" s="45" t="s">
        <v>771</v>
      </c>
      <c r="C178" s="21"/>
      <c r="D178" s="109" t="s">
        <v>772</v>
      </c>
      <c r="E178" s="145" t="str">
        <f t="shared" si="20"/>
        <v/>
      </c>
      <c r="F178" s="144" t="str">
        <f t="shared" si="21"/>
        <v>Not Required</v>
      </c>
      <c r="G178" s="145" t="str">
        <f t="shared" si="22"/>
        <v/>
      </c>
      <c r="H178" s="144" t="str">
        <f t="shared" si="23"/>
        <v>Not Required</v>
      </c>
      <c r="I178" s="145" t="str">
        <f t="shared" si="24"/>
        <v/>
      </c>
      <c r="J178" s="144" t="str">
        <f t="shared" si="25"/>
        <v>Not Required</v>
      </c>
      <c r="K178" s="145" t="str">
        <f t="shared" si="26"/>
        <v/>
      </c>
      <c r="L178" s="144" t="str">
        <f t="shared" si="27"/>
        <v>Not Required</v>
      </c>
      <c r="M178" s="145" t="str">
        <f t="shared" si="28"/>
        <v/>
      </c>
      <c r="N178" s="144" t="str">
        <f t="shared" si="29"/>
        <v>Not Required</v>
      </c>
      <c r="O178" s="52"/>
    </row>
    <row r="179" spans="1:15" ht="15.75" hidden="1" customHeight="1" outlineLevel="1" x14ac:dyDescent="0.25">
      <c r="A179" s="249"/>
      <c r="B179" s="46" t="s">
        <v>771</v>
      </c>
      <c r="C179" s="23" t="s">
        <v>754</v>
      </c>
      <c r="D179" s="29" t="s">
        <v>772</v>
      </c>
      <c r="E179" s="145">
        <f t="shared" si="20"/>
        <v>1</v>
      </c>
      <c r="F179" s="144" t="str">
        <f t="shared" si="21"/>
        <v>Not Required</v>
      </c>
      <c r="G179" s="145">
        <f t="shared" si="22"/>
        <v>3</v>
      </c>
      <c r="H179" s="144" t="str">
        <f t="shared" si="23"/>
        <v>Not Required</v>
      </c>
      <c r="I179" s="145">
        <f t="shared" si="24"/>
        <v>1</v>
      </c>
      <c r="J179" s="144" t="str">
        <f t="shared" si="25"/>
        <v>Not Required</v>
      </c>
      <c r="K179" s="145">
        <f t="shared" si="26"/>
        <v>1</v>
      </c>
      <c r="L179" s="144" t="str">
        <f t="shared" si="27"/>
        <v>Not Required</v>
      </c>
      <c r="M179" s="145">
        <f t="shared" si="28"/>
        <v>1</v>
      </c>
      <c r="N179" s="144" t="str">
        <f t="shared" si="29"/>
        <v>Not Required</v>
      </c>
      <c r="O179" s="52" t="s">
        <v>554</v>
      </c>
    </row>
    <row r="180" spans="1:15" ht="15.75" hidden="1" customHeight="1" outlineLevel="1" x14ac:dyDescent="0.25">
      <c r="A180" s="249"/>
      <c r="B180" s="46" t="s">
        <v>771</v>
      </c>
      <c r="C180" s="23" t="s">
        <v>755</v>
      </c>
      <c r="D180" s="29" t="s">
        <v>772</v>
      </c>
      <c r="E180" s="145">
        <f t="shared" si="20"/>
        <v>1</v>
      </c>
      <c r="F180" s="144" t="str">
        <f t="shared" si="21"/>
        <v>Not Required</v>
      </c>
      <c r="G180" s="145">
        <f t="shared" si="22"/>
        <v>3</v>
      </c>
      <c r="H180" s="144" t="str">
        <f t="shared" si="23"/>
        <v>Not Required</v>
      </c>
      <c r="I180" s="145">
        <f t="shared" si="24"/>
        <v>1</v>
      </c>
      <c r="J180" s="144" t="str">
        <f t="shared" si="25"/>
        <v>Not Required</v>
      </c>
      <c r="K180" s="145">
        <f t="shared" si="26"/>
        <v>1</v>
      </c>
      <c r="L180" s="144" t="str">
        <f t="shared" si="27"/>
        <v>Not Required</v>
      </c>
      <c r="M180" s="145">
        <f t="shared" si="28"/>
        <v>1</v>
      </c>
      <c r="N180" s="144" t="str">
        <f t="shared" si="29"/>
        <v>Not Required</v>
      </c>
      <c r="O180" s="52" t="s">
        <v>555</v>
      </c>
    </row>
    <row r="181" spans="1:15" ht="15.75" hidden="1" customHeight="1" outlineLevel="1" x14ac:dyDescent="0.25">
      <c r="A181" s="249"/>
      <c r="B181" s="46" t="s">
        <v>771</v>
      </c>
      <c r="C181" s="23" t="s">
        <v>756</v>
      </c>
      <c r="D181" s="29" t="s">
        <v>772</v>
      </c>
      <c r="E181" s="145">
        <f t="shared" si="20"/>
        <v>1</v>
      </c>
      <c r="F181" s="144" t="str">
        <f t="shared" si="21"/>
        <v>Not Required</v>
      </c>
      <c r="G181" s="145">
        <f t="shared" si="22"/>
        <v>3</v>
      </c>
      <c r="H181" s="144" t="str">
        <f t="shared" si="23"/>
        <v>Not Required</v>
      </c>
      <c r="I181" s="145">
        <f t="shared" si="24"/>
        <v>1</v>
      </c>
      <c r="J181" s="144" t="str">
        <f t="shared" si="25"/>
        <v>Not Required</v>
      </c>
      <c r="K181" s="145">
        <f t="shared" si="26"/>
        <v>1</v>
      </c>
      <c r="L181" s="144" t="str">
        <f t="shared" si="27"/>
        <v>Not Required</v>
      </c>
      <c r="M181" s="145">
        <f t="shared" si="28"/>
        <v>1</v>
      </c>
      <c r="N181" s="144" t="str">
        <f t="shared" si="29"/>
        <v>Not Required</v>
      </c>
      <c r="O181" s="52" t="s">
        <v>556</v>
      </c>
    </row>
    <row r="182" spans="1:15" ht="15.75" hidden="1" customHeight="1" outlineLevel="1" x14ac:dyDescent="0.25">
      <c r="A182" s="249"/>
      <c r="B182" s="46" t="s">
        <v>771</v>
      </c>
      <c r="C182" s="23" t="s">
        <v>757</v>
      </c>
      <c r="D182" s="29" t="s">
        <v>772</v>
      </c>
      <c r="E182" s="145">
        <f t="shared" si="20"/>
        <v>1</v>
      </c>
      <c r="F182" s="144" t="str">
        <f t="shared" si="21"/>
        <v>Not Required</v>
      </c>
      <c r="G182" s="145">
        <f t="shared" si="22"/>
        <v>3</v>
      </c>
      <c r="H182" s="144" t="str">
        <f t="shared" si="23"/>
        <v>Not Required</v>
      </c>
      <c r="I182" s="145">
        <f t="shared" si="24"/>
        <v>1</v>
      </c>
      <c r="J182" s="144" t="str">
        <f t="shared" si="25"/>
        <v>Not Required</v>
      </c>
      <c r="K182" s="145">
        <f t="shared" si="26"/>
        <v>1</v>
      </c>
      <c r="L182" s="144" t="str">
        <f t="shared" si="27"/>
        <v>Not Required</v>
      </c>
      <c r="M182" s="145">
        <f t="shared" si="28"/>
        <v>1</v>
      </c>
      <c r="N182" s="144" t="str">
        <f t="shared" si="29"/>
        <v>Not Required</v>
      </c>
      <c r="O182" s="52" t="s">
        <v>557</v>
      </c>
    </row>
    <row r="183" spans="1:15" ht="15.75" hidden="1" customHeight="1" outlineLevel="1" x14ac:dyDescent="0.25">
      <c r="A183" s="249"/>
      <c r="B183" s="46" t="s">
        <v>771</v>
      </c>
      <c r="C183" s="23" t="s">
        <v>758</v>
      </c>
      <c r="D183" s="29" t="s">
        <v>772</v>
      </c>
      <c r="E183" s="145">
        <f t="shared" si="20"/>
        <v>1</v>
      </c>
      <c r="F183" s="144" t="str">
        <f t="shared" si="21"/>
        <v>Not Required</v>
      </c>
      <c r="G183" s="145">
        <f t="shared" si="22"/>
        <v>3</v>
      </c>
      <c r="H183" s="144" t="str">
        <f t="shared" si="23"/>
        <v>Not Required</v>
      </c>
      <c r="I183" s="145">
        <f t="shared" si="24"/>
        <v>1</v>
      </c>
      <c r="J183" s="144" t="str">
        <f t="shared" si="25"/>
        <v>Not Required</v>
      </c>
      <c r="K183" s="145">
        <f t="shared" si="26"/>
        <v>1</v>
      </c>
      <c r="L183" s="144" t="str">
        <f t="shared" si="27"/>
        <v>Not Required</v>
      </c>
      <c r="M183" s="145">
        <f t="shared" si="28"/>
        <v>1</v>
      </c>
      <c r="N183" s="144" t="str">
        <f t="shared" si="29"/>
        <v>Not Required</v>
      </c>
      <c r="O183" s="52" t="s">
        <v>558</v>
      </c>
    </row>
    <row r="184" spans="1:15" ht="15.75" hidden="1" customHeight="1" outlineLevel="1" x14ac:dyDescent="0.25">
      <c r="A184" s="249"/>
      <c r="B184" s="46" t="s">
        <v>771</v>
      </c>
      <c r="C184" s="23" t="s">
        <v>759</v>
      </c>
      <c r="D184" s="29" t="s">
        <v>772</v>
      </c>
      <c r="E184" s="145">
        <f t="shared" si="20"/>
        <v>1</v>
      </c>
      <c r="F184" s="144" t="str">
        <f t="shared" si="21"/>
        <v>Not Required</v>
      </c>
      <c r="G184" s="145">
        <f t="shared" si="22"/>
        <v>3</v>
      </c>
      <c r="H184" s="144" t="str">
        <f t="shared" si="23"/>
        <v>Not Required</v>
      </c>
      <c r="I184" s="145">
        <f t="shared" si="24"/>
        <v>1</v>
      </c>
      <c r="J184" s="144" t="str">
        <f t="shared" si="25"/>
        <v>Not Required</v>
      </c>
      <c r="K184" s="145">
        <f t="shared" si="26"/>
        <v>1</v>
      </c>
      <c r="L184" s="144" t="str">
        <f t="shared" si="27"/>
        <v>Not Required</v>
      </c>
      <c r="M184" s="145">
        <f t="shared" si="28"/>
        <v>1</v>
      </c>
      <c r="N184" s="144" t="str">
        <f t="shared" si="29"/>
        <v>Not Required</v>
      </c>
      <c r="O184" s="52" t="s">
        <v>559</v>
      </c>
    </row>
    <row r="185" spans="1:15" ht="15.75" hidden="1" customHeight="1" outlineLevel="1" x14ac:dyDescent="0.25">
      <c r="A185" s="249"/>
      <c r="B185" s="46" t="s">
        <v>771</v>
      </c>
      <c r="C185" s="23" t="s">
        <v>760</v>
      </c>
      <c r="D185" s="29" t="s">
        <v>772</v>
      </c>
      <c r="E185" s="145">
        <f t="shared" si="20"/>
        <v>1</v>
      </c>
      <c r="F185" s="144" t="str">
        <f t="shared" si="21"/>
        <v>Not Required</v>
      </c>
      <c r="G185" s="145">
        <f t="shared" si="22"/>
        <v>3</v>
      </c>
      <c r="H185" s="144" t="str">
        <f t="shared" si="23"/>
        <v>Not Required</v>
      </c>
      <c r="I185" s="145">
        <f t="shared" si="24"/>
        <v>1</v>
      </c>
      <c r="J185" s="144" t="str">
        <f t="shared" si="25"/>
        <v>Not Required</v>
      </c>
      <c r="K185" s="145">
        <f t="shared" si="26"/>
        <v>1</v>
      </c>
      <c r="L185" s="144" t="str">
        <f t="shared" si="27"/>
        <v>Not Required</v>
      </c>
      <c r="M185" s="145">
        <f t="shared" si="28"/>
        <v>1</v>
      </c>
      <c r="N185" s="144" t="str">
        <f t="shared" si="29"/>
        <v>Not Required</v>
      </c>
      <c r="O185" s="52" t="s">
        <v>560</v>
      </c>
    </row>
    <row r="186" spans="1:15" ht="15.75" hidden="1" customHeight="1" outlineLevel="1" x14ac:dyDescent="0.25">
      <c r="A186" s="249"/>
      <c r="B186" s="46" t="s">
        <v>771</v>
      </c>
      <c r="C186" s="23" t="s">
        <v>761</v>
      </c>
      <c r="D186" s="29" t="s">
        <v>772</v>
      </c>
      <c r="E186" s="145">
        <f t="shared" si="20"/>
        <v>1</v>
      </c>
      <c r="F186" s="144" t="str">
        <f t="shared" si="21"/>
        <v>Not Required</v>
      </c>
      <c r="G186" s="145">
        <f t="shared" si="22"/>
        <v>3</v>
      </c>
      <c r="H186" s="144" t="str">
        <f t="shared" si="23"/>
        <v>Not Required</v>
      </c>
      <c r="I186" s="145">
        <f t="shared" si="24"/>
        <v>1</v>
      </c>
      <c r="J186" s="144" t="str">
        <f t="shared" si="25"/>
        <v>Not Required</v>
      </c>
      <c r="K186" s="145">
        <f t="shared" si="26"/>
        <v>1</v>
      </c>
      <c r="L186" s="144" t="str">
        <f t="shared" si="27"/>
        <v>Not Required</v>
      </c>
      <c r="M186" s="145">
        <f t="shared" si="28"/>
        <v>1</v>
      </c>
      <c r="N186" s="144" t="str">
        <f t="shared" si="29"/>
        <v>Not Required</v>
      </c>
      <c r="O186" s="52" t="s">
        <v>561</v>
      </c>
    </row>
    <row r="187" spans="1:15" ht="15.75" hidden="1" customHeight="1" outlineLevel="1" x14ac:dyDescent="0.25">
      <c r="A187" s="249"/>
      <c r="B187" s="46" t="s">
        <v>771</v>
      </c>
      <c r="C187" s="23" t="s">
        <v>762</v>
      </c>
      <c r="D187" s="29" t="s">
        <v>772</v>
      </c>
      <c r="E187" s="145">
        <f t="shared" si="20"/>
        <v>1</v>
      </c>
      <c r="F187" s="144" t="str">
        <f t="shared" si="21"/>
        <v>Not Required</v>
      </c>
      <c r="G187" s="145">
        <f t="shared" si="22"/>
        <v>3</v>
      </c>
      <c r="H187" s="144" t="str">
        <f t="shared" si="23"/>
        <v>Not Required</v>
      </c>
      <c r="I187" s="145">
        <f t="shared" si="24"/>
        <v>1</v>
      </c>
      <c r="J187" s="144" t="str">
        <f t="shared" si="25"/>
        <v>Not Required</v>
      </c>
      <c r="K187" s="145">
        <f t="shared" si="26"/>
        <v>1</v>
      </c>
      <c r="L187" s="144" t="str">
        <f t="shared" si="27"/>
        <v>Not Required</v>
      </c>
      <c r="M187" s="145">
        <f t="shared" si="28"/>
        <v>1</v>
      </c>
      <c r="N187" s="144" t="str">
        <f t="shared" si="29"/>
        <v>Not Required</v>
      </c>
      <c r="O187" s="52" t="s">
        <v>562</v>
      </c>
    </row>
    <row r="188" spans="1:15" ht="15.75" collapsed="1" x14ac:dyDescent="0.25">
      <c r="A188" s="249"/>
      <c r="B188" s="45" t="s">
        <v>763</v>
      </c>
      <c r="C188" s="21"/>
      <c r="D188" s="109" t="s">
        <v>772</v>
      </c>
      <c r="E188" s="145" t="str">
        <f t="shared" si="20"/>
        <v/>
      </c>
      <c r="F188" s="144" t="str">
        <f t="shared" si="21"/>
        <v>Not Required</v>
      </c>
      <c r="G188" s="145" t="str">
        <f t="shared" si="22"/>
        <v/>
      </c>
      <c r="H188" s="144" t="str">
        <f t="shared" si="23"/>
        <v>Not Required</v>
      </c>
      <c r="I188" s="145" t="str">
        <f t="shared" si="24"/>
        <v/>
      </c>
      <c r="J188" s="144" t="str">
        <f t="shared" si="25"/>
        <v>Not Required</v>
      </c>
      <c r="K188" s="145" t="str">
        <f t="shared" si="26"/>
        <v/>
      </c>
      <c r="L188" s="144" t="str">
        <f t="shared" si="27"/>
        <v>Not Required</v>
      </c>
      <c r="M188" s="145" t="str">
        <f t="shared" si="28"/>
        <v/>
      </c>
      <c r="N188" s="144" t="str">
        <f t="shared" si="29"/>
        <v>Not Required</v>
      </c>
      <c r="O188" s="52"/>
    </row>
    <row r="189" spans="1:15" ht="15.75" hidden="1" customHeight="1" outlineLevel="1" x14ac:dyDescent="0.25">
      <c r="A189" s="249"/>
      <c r="B189" s="46" t="s">
        <v>763</v>
      </c>
      <c r="C189" s="23" t="s">
        <v>764</v>
      </c>
      <c r="D189" s="29" t="s">
        <v>772</v>
      </c>
      <c r="E189" s="145">
        <f t="shared" si="20"/>
        <v>1</v>
      </c>
      <c r="F189" s="144" t="str">
        <f t="shared" si="21"/>
        <v>Not Required</v>
      </c>
      <c r="G189" s="145">
        <f t="shared" si="22"/>
        <v>3</v>
      </c>
      <c r="H189" s="144" t="str">
        <f t="shared" si="23"/>
        <v>Not Required</v>
      </c>
      <c r="I189" s="145">
        <f t="shared" si="24"/>
        <v>1</v>
      </c>
      <c r="J189" s="144" t="str">
        <f t="shared" si="25"/>
        <v>Not Required</v>
      </c>
      <c r="K189" s="145">
        <f t="shared" si="26"/>
        <v>1</v>
      </c>
      <c r="L189" s="144" t="str">
        <f t="shared" si="27"/>
        <v>Not Required</v>
      </c>
      <c r="M189" s="145">
        <f t="shared" si="28"/>
        <v>1</v>
      </c>
      <c r="N189" s="144" t="str">
        <f t="shared" si="29"/>
        <v>Not Required</v>
      </c>
      <c r="O189" s="52" t="s">
        <v>565</v>
      </c>
    </row>
    <row r="190" spans="1:15" ht="15.75" hidden="1" customHeight="1" outlineLevel="1" x14ac:dyDescent="0.25">
      <c r="A190" s="249"/>
      <c r="B190" s="46" t="s">
        <v>763</v>
      </c>
      <c r="C190" s="23" t="s">
        <v>765</v>
      </c>
      <c r="D190" s="29" t="s">
        <v>772</v>
      </c>
      <c r="E190" s="145">
        <f t="shared" si="20"/>
        <v>1</v>
      </c>
      <c r="F190" s="144" t="str">
        <f t="shared" si="21"/>
        <v>Not Required</v>
      </c>
      <c r="G190" s="145">
        <f t="shared" si="22"/>
        <v>3</v>
      </c>
      <c r="H190" s="144" t="str">
        <f t="shared" si="23"/>
        <v>Not Required</v>
      </c>
      <c r="I190" s="145">
        <f t="shared" si="24"/>
        <v>1</v>
      </c>
      <c r="J190" s="144" t="str">
        <f t="shared" si="25"/>
        <v>Not Required</v>
      </c>
      <c r="K190" s="145">
        <f t="shared" si="26"/>
        <v>1</v>
      </c>
      <c r="L190" s="144" t="str">
        <f t="shared" si="27"/>
        <v>Not Required</v>
      </c>
      <c r="M190" s="145">
        <f t="shared" si="28"/>
        <v>1</v>
      </c>
      <c r="N190" s="144" t="str">
        <f t="shared" si="29"/>
        <v>Not Required</v>
      </c>
      <c r="O190" s="52" t="s">
        <v>566</v>
      </c>
    </row>
    <row r="191" spans="1:15" ht="15.75" hidden="1" customHeight="1" outlineLevel="1" x14ac:dyDescent="0.25">
      <c r="A191" s="249"/>
      <c r="B191" s="46" t="s">
        <v>763</v>
      </c>
      <c r="C191" s="23" t="s">
        <v>766</v>
      </c>
      <c r="D191" s="29" t="s">
        <v>772</v>
      </c>
      <c r="E191" s="145">
        <f t="shared" si="20"/>
        <v>1</v>
      </c>
      <c r="F191" s="144" t="str">
        <f t="shared" si="21"/>
        <v>Not Required</v>
      </c>
      <c r="G191" s="145">
        <f t="shared" si="22"/>
        <v>3</v>
      </c>
      <c r="H191" s="144" t="str">
        <f t="shared" si="23"/>
        <v>Not Required</v>
      </c>
      <c r="I191" s="145">
        <f t="shared" si="24"/>
        <v>1</v>
      </c>
      <c r="J191" s="144" t="str">
        <f t="shared" si="25"/>
        <v>Not Required</v>
      </c>
      <c r="K191" s="145">
        <f t="shared" si="26"/>
        <v>1</v>
      </c>
      <c r="L191" s="144" t="str">
        <f t="shared" si="27"/>
        <v>Not Required</v>
      </c>
      <c r="M191" s="145">
        <f t="shared" si="28"/>
        <v>1</v>
      </c>
      <c r="N191" s="144" t="str">
        <f t="shared" si="29"/>
        <v>Not Required</v>
      </c>
      <c r="O191" s="52" t="s">
        <v>567</v>
      </c>
    </row>
    <row r="192" spans="1:15" ht="15.75" hidden="1" customHeight="1" outlineLevel="1" x14ac:dyDescent="0.25">
      <c r="A192" s="249"/>
      <c r="B192" s="46" t="s">
        <v>763</v>
      </c>
      <c r="C192" s="23" t="s">
        <v>767</v>
      </c>
      <c r="D192" s="29" t="s">
        <v>772</v>
      </c>
      <c r="E192" s="145">
        <f t="shared" si="20"/>
        <v>1</v>
      </c>
      <c r="F192" s="144" t="str">
        <f t="shared" si="21"/>
        <v>Not Required</v>
      </c>
      <c r="G192" s="145">
        <f t="shared" si="22"/>
        <v>3</v>
      </c>
      <c r="H192" s="144" t="str">
        <f t="shared" si="23"/>
        <v>Not Required</v>
      </c>
      <c r="I192" s="145">
        <f t="shared" si="24"/>
        <v>1</v>
      </c>
      <c r="J192" s="144" t="str">
        <f t="shared" si="25"/>
        <v>Not Required</v>
      </c>
      <c r="K192" s="145">
        <f t="shared" si="26"/>
        <v>1</v>
      </c>
      <c r="L192" s="144" t="str">
        <f t="shared" si="27"/>
        <v>Not Required</v>
      </c>
      <c r="M192" s="145">
        <f t="shared" si="28"/>
        <v>1</v>
      </c>
      <c r="N192" s="144" t="str">
        <f t="shared" si="29"/>
        <v>Not Required</v>
      </c>
      <c r="O192" s="52" t="s">
        <v>568</v>
      </c>
    </row>
    <row r="193" spans="1:15" ht="15.75" hidden="1" customHeight="1" outlineLevel="1" x14ac:dyDescent="0.25">
      <c r="A193" s="249"/>
      <c r="B193" s="46" t="s">
        <v>763</v>
      </c>
      <c r="C193" s="23" t="s">
        <v>768</v>
      </c>
      <c r="D193" s="29" t="s">
        <v>772</v>
      </c>
      <c r="E193" s="145">
        <f t="shared" si="20"/>
        <v>1</v>
      </c>
      <c r="F193" s="144" t="str">
        <f t="shared" si="21"/>
        <v>Not Required</v>
      </c>
      <c r="G193" s="145">
        <f t="shared" si="22"/>
        <v>3</v>
      </c>
      <c r="H193" s="144" t="str">
        <f t="shared" si="23"/>
        <v>Not Required</v>
      </c>
      <c r="I193" s="145">
        <f t="shared" si="24"/>
        <v>1</v>
      </c>
      <c r="J193" s="144" t="str">
        <f t="shared" si="25"/>
        <v>Not Required</v>
      </c>
      <c r="K193" s="145">
        <f t="shared" si="26"/>
        <v>1</v>
      </c>
      <c r="L193" s="144" t="str">
        <f t="shared" si="27"/>
        <v>Not Required</v>
      </c>
      <c r="M193" s="145">
        <f t="shared" si="28"/>
        <v>1</v>
      </c>
      <c r="N193" s="144" t="str">
        <f t="shared" si="29"/>
        <v>Not Required</v>
      </c>
      <c r="O193" s="52" t="s">
        <v>569</v>
      </c>
    </row>
    <row r="194" spans="1:15" ht="15.75" hidden="1" customHeight="1" outlineLevel="1" x14ac:dyDescent="0.25">
      <c r="A194" s="249"/>
      <c r="B194" s="46" t="s">
        <v>763</v>
      </c>
      <c r="C194" s="23" t="s">
        <v>769</v>
      </c>
      <c r="D194" s="29" t="s">
        <v>772</v>
      </c>
      <c r="E194" s="145">
        <f t="shared" si="20"/>
        <v>1</v>
      </c>
      <c r="F194" s="144" t="str">
        <f t="shared" si="21"/>
        <v>Not Required</v>
      </c>
      <c r="G194" s="145">
        <f t="shared" si="22"/>
        <v>3</v>
      </c>
      <c r="H194" s="144" t="str">
        <f t="shared" si="23"/>
        <v>Not Required</v>
      </c>
      <c r="I194" s="145">
        <f t="shared" si="24"/>
        <v>1</v>
      </c>
      <c r="J194" s="144" t="str">
        <f t="shared" si="25"/>
        <v>Not Required</v>
      </c>
      <c r="K194" s="145">
        <f t="shared" si="26"/>
        <v>1</v>
      </c>
      <c r="L194" s="144" t="str">
        <f t="shared" si="27"/>
        <v>Not Required</v>
      </c>
      <c r="M194" s="145">
        <f t="shared" si="28"/>
        <v>1</v>
      </c>
      <c r="N194" s="144" t="str">
        <f t="shared" si="29"/>
        <v>Not Required</v>
      </c>
      <c r="O194" s="52" t="s">
        <v>570</v>
      </c>
    </row>
    <row r="195" spans="1:15" ht="15.75" collapsed="1" x14ac:dyDescent="0.25">
      <c r="A195" s="249"/>
      <c r="B195" s="45" t="s">
        <v>571</v>
      </c>
      <c r="C195" s="21"/>
      <c r="D195" s="109" t="s">
        <v>772</v>
      </c>
      <c r="E195" s="145" t="str">
        <f t="shared" si="20"/>
        <v/>
      </c>
      <c r="F195" s="144" t="str">
        <f t="shared" si="21"/>
        <v>Not Required</v>
      </c>
      <c r="G195" s="145" t="str">
        <f t="shared" si="22"/>
        <v/>
      </c>
      <c r="H195" s="144" t="str">
        <f t="shared" si="23"/>
        <v>Not Required</v>
      </c>
      <c r="I195" s="145" t="str">
        <f t="shared" si="24"/>
        <v/>
      </c>
      <c r="J195" s="144" t="str">
        <f t="shared" si="25"/>
        <v>Not Required</v>
      </c>
      <c r="K195" s="145" t="str">
        <f t="shared" si="26"/>
        <v/>
      </c>
      <c r="L195" s="144" t="str">
        <f t="shared" si="27"/>
        <v>Not Required</v>
      </c>
      <c r="M195" s="145" t="str">
        <f t="shared" si="28"/>
        <v/>
      </c>
      <c r="N195" s="144" t="str">
        <f t="shared" si="29"/>
        <v>Not Required</v>
      </c>
      <c r="O195" s="52"/>
    </row>
    <row r="196" spans="1:15" ht="15.75" hidden="1" customHeight="1" outlineLevel="1" x14ac:dyDescent="0.25">
      <c r="A196" s="249"/>
      <c r="B196" s="46" t="s">
        <v>571</v>
      </c>
      <c r="C196" s="23" t="s">
        <v>573</v>
      </c>
      <c r="D196" s="29" t="s">
        <v>772</v>
      </c>
      <c r="E196" s="145">
        <f t="shared" si="20"/>
        <v>1</v>
      </c>
      <c r="F196" s="144" t="str">
        <f t="shared" si="21"/>
        <v>Not Required</v>
      </c>
      <c r="G196" s="145">
        <f t="shared" si="22"/>
        <v>3</v>
      </c>
      <c r="H196" s="144" t="str">
        <f t="shared" si="23"/>
        <v>Not Required</v>
      </c>
      <c r="I196" s="145">
        <f t="shared" si="24"/>
        <v>1</v>
      </c>
      <c r="J196" s="144" t="str">
        <f t="shared" si="25"/>
        <v>Not Required</v>
      </c>
      <c r="K196" s="145">
        <f t="shared" si="26"/>
        <v>1</v>
      </c>
      <c r="L196" s="144" t="str">
        <f t="shared" si="27"/>
        <v>Not Required</v>
      </c>
      <c r="M196" s="145">
        <f t="shared" si="28"/>
        <v>1</v>
      </c>
      <c r="N196" s="144" t="str">
        <f t="shared" si="29"/>
        <v>Not Required</v>
      </c>
      <c r="O196" s="52" t="s">
        <v>572</v>
      </c>
    </row>
    <row r="197" spans="1:15" ht="15.75" hidden="1" customHeight="1" outlineLevel="1" x14ac:dyDescent="0.25">
      <c r="A197" s="249"/>
      <c r="B197" s="46" t="s">
        <v>571</v>
      </c>
      <c r="C197" s="23" t="s">
        <v>299</v>
      </c>
      <c r="D197" s="29" t="s">
        <v>772</v>
      </c>
      <c r="E197" s="145">
        <f t="shared" si="20"/>
        <v>1</v>
      </c>
      <c r="F197" s="144" t="str">
        <f t="shared" si="21"/>
        <v>Not Required</v>
      </c>
      <c r="G197" s="145">
        <f t="shared" si="22"/>
        <v>3</v>
      </c>
      <c r="H197" s="144" t="str">
        <f t="shared" si="23"/>
        <v>Not Required</v>
      </c>
      <c r="I197" s="145">
        <f t="shared" si="24"/>
        <v>1</v>
      </c>
      <c r="J197" s="144" t="str">
        <f t="shared" si="25"/>
        <v>Not Required</v>
      </c>
      <c r="K197" s="145">
        <f t="shared" si="26"/>
        <v>1</v>
      </c>
      <c r="L197" s="144" t="str">
        <f t="shared" si="27"/>
        <v>Not Required</v>
      </c>
      <c r="M197" s="145">
        <f t="shared" si="28"/>
        <v>1</v>
      </c>
      <c r="N197" s="144" t="str">
        <f t="shared" si="29"/>
        <v>Not Required</v>
      </c>
      <c r="O197" s="52" t="s">
        <v>574</v>
      </c>
    </row>
    <row r="198" spans="1:15" ht="15.75" hidden="1" customHeight="1" outlineLevel="1" x14ac:dyDescent="0.25">
      <c r="A198" s="249"/>
      <c r="B198" s="46" t="s">
        <v>571</v>
      </c>
      <c r="C198" s="23" t="s">
        <v>576</v>
      </c>
      <c r="D198" s="29" t="s">
        <v>772</v>
      </c>
      <c r="E198" s="145">
        <f t="shared" si="20"/>
        <v>1</v>
      </c>
      <c r="F198" s="144" t="str">
        <f t="shared" si="21"/>
        <v>Not Required</v>
      </c>
      <c r="G198" s="145">
        <f t="shared" si="22"/>
        <v>3</v>
      </c>
      <c r="H198" s="144" t="str">
        <f t="shared" si="23"/>
        <v>Not Required</v>
      </c>
      <c r="I198" s="145">
        <f t="shared" si="24"/>
        <v>1</v>
      </c>
      <c r="J198" s="144" t="str">
        <f t="shared" si="25"/>
        <v>Not Required</v>
      </c>
      <c r="K198" s="145">
        <f t="shared" si="26"/>
        <v>1</v>
      </c>
      <c r="L198" s="144" t="str">
        <f t="shared" si="27"/>
        <v>Not Required</v>
      </c>
      <c r="M198" s="145">
        <f t="shared" si="28"/>
        <v>1</v>
      </c>
      <c r="N198" s="144" t="str">
        <f t="shared" si="29"/>
        <v>Not Required</v>
      </c>
      <c r="O198" s="52" t="s">
        <v>575</v>
      </c>
    </row>
    <row r="199" spans="1:15" ht="15.75" hidden="1" customHeight="1" outlineLevel="1" x14ac:dyDescent="0.25">
      <c r="A199" s="249"/>
      <c r="B199" s="46" t="s">
        <v>571</v>
      </c>
      <c r="C199" s="23" t="s">
        <v>578</v>
      </c>
      <c r="D199" s="29" t="s">
        <v>772</v>
      </c>
      <c r="E199" s="145">
        <f t="shared" si="20"/>
        <v>1</v>
      </c>
      <c r="F199" s="144" t="str">
        <f t="shared" si="21"/>
        <v>Not Required</v>
      </c>
      <c r="G199" s="145">
        <f t="shared" si="22"/>
        <v>3</v>
      </c>
      <c r="H199" s="144" t="str">
        <f t="shared" si="23"/>
        <v>Not Required</v>
      </c>
      <c r="I199" s="145">
        <f t="shared" si="24"/>
        <v>1</v>
      </c>
      <c r="J199" s="144" t="str">
        <f t="shared" si="25"/>
        <v>Not Required</v>
      </c>
      <c r="K199" s="145">
        <f t="shared" si="26"/>
        <v>1</v>
      </c>
      <c r="L199" s="144" t="str">
        <f t="shared" si="27"/>
        <v>Not Required</v>
      </c>
      <c r="M199" s="145">
        <f t="shared" si="28"/>
        <v>1</v>
      </c>
      <c r="N199" s="144" t="str">
        <f t="shared" si="29"/>
        <v>Not Required</v>
      </c>
      <c r="O199" s="52" t="s">
        <v>577</v>
      </c>
    </row>
    <row r="200" spans="1:15" ht="15.75" collapsed="1" x14ac:dyDescent="0.25">
      <c r="A200" s="249"/>
      <c r="B200" s="45" t="s">
        <v>100</v>
      </c>
      <c r="C200" s="21"/>
      <c r="D200" s="109" t="s">
        <v>772</v>
      </c>
      <c r="E200" s="145" t="str">
        <f t="shared" ref="E200:E228" si="30">IF($C200&lt;&gt;"",VLOOKUP($C200,Skills_DB,MATCH(F$5&amp;E$3,SkillRoles,0),0),"")</f>
        <v/>
      </c>
      <c r="F200" s="144" t="str">
        <f t="shared" ref="F200:F228" si="31">$D200</f>
        <v>Not Required</v>
      </c>
      <c r="G200" s="145" t="str">
        <f t="shared" ref="G200:G228" si="32">IF($C200&lt;&gt;"",VLOOKUP($C200,Skills_DB,MATCH(H$5&amp;G$3,SkillRoles,0),0),"")</f>
        <v/>
      </c>
      <c r="H200" s="144" t="str">
        <f t="shared" ref="H200:H235" si="33">$D200</f>
        <v>Not Required</v>
      </c>
      <c r="I200" s="145" t="str">
        <f t="shared" ref="I200:I228" si="34">IF($C200&lt;&gt;"",VLOOKUP($C200,Skills_DB,MATCH(J$5&amp;I$3,SkillRoles,0),0),"")</f>
        <v/>
      </c>
      <c r="J200" s="144" t="str">
        <f t="shared" ref="J200:J235" si="35">$D200</f>
        <v>Not Required</v>
      </c>
      <c r="K200" s="145" t="str">
        <f t="shared" ref="K200:K228" si="36">IF($C200&lt;&gt;"",VLOOKUP($C200,Skills_DB,MATCH(L$5&amp;K$3,SkillRoles,0),0),"")</f>
        <v/>
      </c>
      <c r="L200" s="144" t="str">
        <f t="shared" ref="L200:L235" si="37">$D200</f>
        <v>Not Required</v>
      </c>
      <c r="M200" s="145" t="str">
        <f t="shared" ref="M200:M228" si="38">IF($C200&lt;&gt;"",VLOOKUP($C200,Skills_DB,MATCH(N$5&amp;M$3,SkillRoles,0),0),"")</f>
        <v/>
      </c>
      <c r="N200" s="144" t="str">
        <f t="shared" ref="N200:N235" si="39">$D200</f>
        <v>Not Required</v>
      </c>
      <c r="O200" s="52"/>
    </row>
    <row r="201" spans="1:15" ht="15.75" hidden="1" customHeight="1" outlineLevel="1" x14ac:dyDescent="0.25">
      <c r="A201" s="249"/>
      <c r="B201" s="46" t="s">
        <v>100</v>
      </c>
      <c r="C201" s="23" t="s">
        <v>273</v>
      </c>
      <c r="D201" s="29" t="s">
        <v>772</v>
      </c>
      <c r="E201" s="145">
        <f t="shared" si="30"/>
        <v>1</v>
      </c>
      <c r="F201" s="144" t="str">
        <f t="shared" si="31"/>
        <v>Not Required</v>
      </c>
      <c r="G201" s="145">
        <f t="shared" si="32"/>
        <v>3</v>
      </c>
      <c r="H201" s="144" t="str">
        <f t="shared" si="33"/>
        <v>Not Required</v>
      </c>
      <c r="I201" s="145">
        <f t="shared" si="34"/>
        <v>1</v>
      </c>
      <c r="J201" s="144" t="str">
        <f t="shared" si="35"/>
        <v>Not Required</v>
      </c>
      <c r="K201" s="145">
        <f t="shared" si="36"/>
        <v>1</v>
      </c>
      <c r="L201" s="144" t="str">
        <f t="shared" si="37"/>
        <v>Not Required</v>
      </c>
      <c r="M201" s="145">
        <f t="shared" si="38"/>
        <v>1</v>
      </c>
      <c r="N201" s="144" t="str">
        <f t="shared" si="39"/>
        <v>Not Required</v>
      </c>
      <c r="O201" s="52" t="s">
        <v>579</v>
      </c>
    </row>
    <row r="202" spans="1:15" ht="15.75" hidden="1" customHeight="1" outlineLevel="1" x14ac:dyDescent="0.25">
      <c r="A202" s="249"/>
      <c r="B202" s="46" t="s">
        <v>100</v>
      </c>
      <c r="C202" s="23" t="s">
        <v>274</v>
      </c>
      <c r="D202" s="29" t="s">
        <v>772</v>
      </c>
      <c r="E202" s="145">
        <f t="shared" si="30"/>
        <v>1</v>
      </c>
      <c r="F202" s="144" t="str">
        <f t="shared" si="31"/>
        <v>Not Required</v>
      </c>
      <c r="G202" s="145">
        <f t="shared" si="32"/>
        <v>3</v>
      </c>
      <c r="H202" s="144" t="str">
        <f t="shared" si="33"/>
        <v>Not Required</v>
      </c>
      <c r="I202" s="145">
        <f t="shared" si="34"/>
        <v>1</v>
      </c>
      <c r="J202" s="144" t="str">
        <f t="shared" si="35"/>
        <v>Not Required</v>
      </c>
      <c r="K202" s="145">
        <f t="shared" si="36"/>
        <v>1</v>
      </c>
      <c r="L202" s="144" t="str">
        <f t="shared" si="37"/>
        <v>Not Required</v>
      </c>
      <c r="M202" s="145">
        <f t="shared" si="38"/>
        <v>1</v>
      </c>
      <c r="N202" s="144" t="str">
        <f t="shared" si="39"/>
        <v>Not Required</v>
      </c>
      <c r="O202" s="52" t="s">
        <v>580</v>
      </c>
    </row>
    <row r="203" spans="1:15" ht="15.75" hidden="1" customHeight="1" outlineLevel="1" x14ac:dyDescent="0.25">
      <c r="A203" s="249"/>
      <c r="B203" s="46" t="s">
        <v>100</v>
      </c>
      <c r="C203" s="23" t="s">
        <v>275</v>
      </c>
      <c r="D203" s="29" t="s">
        <v>772</v>
      </c>
      <c r="E203" s="145">
        <f t="shared" si="30"/>
        <v>1</v>
      </c>
      <c r="F203" s="144" t="str">
        <f t="shared" si="31"/>
        <v>Not Required</v>
      </c>
      <c r="G203" s="145">
        <f t="shared" si="32"/>
        <v>3</v>
      </c>
      <c r="H203" s="144" t="str">
        <f t="shared" si="33"/>
        <v>Not Required</v>
      </c>
      <c r="I203" s="145">
        <f t="shared" si="34"/>
        <v>1</v>
      </c>
      <c r="J203" s="144" t="str">
        <f t="shared" si="35"/>
        <v>Not Required</v>
      </c>
      <c r="K203" s="145">
        <f t="shared" si="36"/>
        <v>1</v>
      </c>
      <c r="L203" s="144" t="str">
        <f t="shared" si="37"/>
        <v>Not Required</v>
      </c>
      <c r="M203" s="145">
        <f t="shared" si="38"/>
        <v>1</v>
      </c>
      <c r="N203" s="144" t="str">
        <f t="shared" si="39"/>
        <v>Not Required</v>
      </c>
      <c r="O203" s="52" t="s">
        <v>581</v>
      </c>
    </row>
    <row r="204" spans="1:15" ht="15.75" hidden="1" customHeight="1" outlineLevel="1" x14ac:dyDescent="0.25">
      <c r="A204" s="249"/>
      <c r="B204" s="46" t="s">
        <v>100</v>
      </c>
      <c r="C204" s="23" t="s">
        <v>300</v>
      </c>
      <c r="D204" s="29" t="s">
        <v>772</v>
      </c>
      <c r="E204" s="145">
        <f t="shared" si="30"/>
        <v>1</v>
      </c>
      <c r="F204" s="144" t="str">
        <f t="shared" si="31"/>
        <v>Not Required</v>
      </c>
      <c r="G204" s="145">
        <f t="shared" si="32"/>
        <v>3</v>
      </c>
      <c r="H204" s="144" t="str">
        <f t="shared" si="33"/>
        <v>Not Required</v>
      </c>
      <c r="I204" s="145">
        <f t="shared" si="34"/>
        <v>1</v>
      </c>
      <c r="J204" s="144" t="str">
        <f t="shared" si="35"/>
        <v>Not Required</v>
      </c>
      <c r="K204" s="145">
        <f t="shared" si="36"/>
        <v>1</v>
      </c>
      <c r="L204" s="144" t="str">
        <f t="shared" si="37"/>
        <v>Not Required</v>
      </c>
      <c r="M204" s="145">
        <f t="shared" si="38"/>
        <v>1</v>
      </c>
      <c r="N204" s="144" t="str">
        <f t="shared" si="39"/>
        <v>Not Required</v>
      </c>
      <c r="O204" s="52" t="s">
        <v>582</v>
      </c>
    </row>
    <row r="205" spans="1:15" ht="15.75" hidden="1" customHeight="1" outlineLevel="1" x14ac:dyDescent="0.25">
      <c r="A205" s="249"/>
      <c r="B205" s="46" t="s">
        <v>100</v>
      </c>
      <c r="C205" s="23" t="s">
        <v>301</v>
      </c>
      <c r="D205" s="29" t="s">
        <v>772</v>
      </c>
      <c r="E205" s="145">
        <f t="shared" si="30"/>
        <v>1</v>
      </c>
      <c r="F205" s="144" t="str">
        <f t="shared" si="31"/>
        <v>Not Required</v>
      </c>
      <c r="G205" s="145">
        <f t="shared" si="32"/>
        <v>3</v>
      </c>
      <c r="H205" s="144" t="str">
        <f t="shared" si="33"/>
        <v>Not Required</v>
      </c>
      <c r="I205" s="145">
        <f t="shared" si="34"/>
        <v>1</v>
      </c>
      <c r="J205" s="144" t="str">
        <f t="shared" si="35"/>
        <v>Not Required</v>
      </c>
      <c r="K205" s="145">
        <f t="shared" si="36"/>
        <v>1</v>
      </c>
      <c r="L205" s="144" t="str">
        <f t="shared" si="37"/>
        <v>Not Required</v>
      </c>
      <c r="M205" s="145">
        <f t="shared" si="38"/>
        <v>1</v>
      </c>
      <c r="N205" s="144" t="str">
        <f t="shared" si="39"/>
        <v>Not Required</v>
      </c>
      <c r="O205" s="52" t="s">
        <v>583</v>
      </c>
    </row>
    <row r="206" spans="1:15" ht="15.75" collapsed="1" x14ac:dyDescent="0.25">
      <c r="A206" s="249"/>
      <c r="B206" s="45" t="s">
        <v>302</v>
      </c>
      <c r="C206" s="21"/>
      <c r="D206" s="109" t="s">
        <v>772</v>
      </c>
      <c r="E206" s="145" t="str">
        <f t="shared" si="30"/>
        <v/>
      </c>
      <c r="F206" s="144" t="str">
        <f t="shared" si="31"/>
        <v>Not Required</v>
      </c>
      <c r="G206" s="145" t="str">
        <f t="shared" si="32"/>
        <v/>
      </c>
      <c r="H206" s="144" t="str">
        <f t="shared" si="33"/>
        <v>Not Required</v>
      </c>
      <c r="I206" s="145" t="str">
        <f t="shared" si="34"/>
        <v/>
      </c>
      <c r="J206" s="144" t="str">
        <f t="shared" si="35"/>
        <v>Not Required</v>
      </c>
      <c r="K206" s="145" t="str">
        <f t="shared" si="36"/>
        <v/>
      </c>
      <c r="L206" s="144" t="str">
        <f t="shared" si="37"/>
        <v>Not Required</v>
      </c>
      <c r="M206" s="145" t="str">
        <f t="shared" si="38"/>
        <v/>
      </c>
      <c r="N206" s="144" t="str">
        <f t="shared" si="39"/>
        <v>Not Required</v>
      </c>
      <c r="O206" s="52"/>
    </row>
    <row r="207" spans="1:15" ht="15.75" hidden="1" customHeight="1" outlineLevel="1" x14ac:dyDescent="0.25">
      <c r="A207" s="249"/>
      <c r="B207" s="46" t="s">
        <v>302</v>
      </c>
      <c r="C207" s="23" t="s">
        <v>296</v>
      </c>
      <c r="D207" s="29" t="s">
        <v>772</v>
      </c>
      <c r="E207" s="145">
        <f t="shared" si="30"/>
        <v>1</v>
      </c>
      <c r="F207" s="144" t="str">
        <f t="shared" si="31"/>
        <v>Not Required</v>
      </c>
      <c r="G207" s="145">
        <f t="shared" si="32"/>
        <v>3</v>
      </c>
      <c r="H207" s="144" t="str">
        <f t="shared" si="33"/>
        <v>Not Required</v>
      </c>
      <c r="I207" s="145">
        <f t="shared" si="34"/>
        <v>1</v>
      </c>
      <c r="J207" s="144" t="str">
        <f t="shared" si="35"/>
        <v>Not Required</v>
      </c>
      <c r="K207" s="145">
        <f t="shared" si="36"/>
        <v>1</v>
      </c>
      <c r="L207" s="144" t="str">
        <f t="shared" si="37"/>
        <v>Not Required</v>
      </c>
      <c r="M207" s="145">
        <f t="shared" si="38"/>
        <v>1</v>
      </c>
      <c r="N207" s="144" t="str">
        <f t="shared" si="39"/>
        <v>Not Required</v>
      </c>
      <c r="O207" s="52" t="s">
        <v>584</v>
      </c>
    </row>
    <row r="208" spans="1:15" ht="15.75" hidden="1" customHeight="1" outlineLevel="1" x14ac:dyDescent="0.25">
      <c r="A208" s="249"/>
      <c r="B208" s="46" t="s">
        <v>302</v>
      </c>
      <c r="C208" s="23" t="s">
        <v>586</v>
      </c>
      <c r="D208" s="29" t="s">
        <v>772</v>
      </c>
      <c r="E208" s="145">
        <f t="shared" si="30"/>
        <v>1</v>
      </c>
      <c r="F208" s="144" t="str">
        <f t="shared" si="31"/>
        <v>Not Required</v>
      </c>
      <c r="G208" s="145">
        <f t="shared" si="32"/>
        <v>3</v>
      </c>
      <c r="H208" s="144" t="str">
        <f t="shared" si="33"/>
        <v>Not Required</v>
      </c>
      <c r="I208" s="145">
        <f t="shared" si="34"/>
        <v>1</v>
      </c>
      <c r="J208" s="144" t="str">
        <f t="shared" si="35"/>
        <v>Not Required</v>
      </c>
      <c r="K208" s="145">
        <f t="shared" si="36"/>
        <v>1</v>
      </c>
      <c r="L208" s="144" t="str">
        <f t="shared" si="37"/>
        <v>Not Required</v>
      </c>
      <c r="M208" s="145">
        <f t="shared" si="38"/>
        <v>1</v>
      </c>
      <c r="N208" s="144" t="str">
        <f t="shared" si="39"/>
        <v>Not Required</v>
      </c>
      <c r="O208" s="52" t="s">
        <v>585</v>
      </c>
    </row>
    <row r="209" spans="1:15" ht="15.75" hidden="1" customHeight="1" outlineLevel="1" x14ac:dyDescent="0.25">
      <c r="A209" s="249"/>
      <c r="B209" s="46" t="s">
        <v>302</v>
      </c>
      <c r="C209" s="23" t="s">
        <v>588</v>
      </c>
      <c r="D209" s="29" t="s">
        <v>772</v>
      </c>
      <c r="E209" s="145">
        <f t="shared" si="30"/>
        <v>1</v>
      </c>
      <c r="F209" s="144" t="str">
        <f t="shared" si="31"/>
        <v>Not Required</v>
      </c>
      <c r="G209" s="145">
        <f t="shared" si="32"/>
        <v>3</v>
      </c>
      <c r="H209" s="144" t="str">
        <f t="shared" si="33"/>
        <v>Not Required</v>
      </c>
      <c r="I209" s="145">
        <f t="shared" si="34"/>
        <v>1</v>
      </c>
      <c r="J209" s="144" t="str">
        <f t="shared" si="35"/>
        <v>Not Required</v>
      </c>
      <c r="K209" s="145">
        <f t="shared" si="36"/>
        <v>1</v>
      </c>
      <c r="L209" s="144" t="str">
        <f t="shared" si="37"/>
        <v>Not Required</v>
      </c>
      <c r="M209" s="145">
        <f t="shared" si="38"/>
        <v>1</v>
      </c>
      <c r="N209" s="144" t="str">
        <f t="shared" si="39"/>
        <v>Not Required</v>
      </c>
      <c r="O209" s="52" t="s">
        <v>587</v>
      </c>
    </row>
    <row r="210" spans="1:15" ht="15.75" hidden="1" customHeight="1" outlineLevel="1" x14ac:dyDescent="0.25">
      <c r="A210" s="249"/>
      <c r="B210" s="46" t="s">
        <v>302</v>
      </c>
      <c r="C210" s="23" t="s">
        <v>590</v>
      </c>
      <c r="D210" s="29" t="s">
        <v>772</v>
      </c>
      <c r="E210" s="145">
        <f t="shared" si="30"/>
        <v>1</v>
      </c>
      <c r="F210" s="144" t="str">
        <f t="shared" si="31"/>
        <v>Not Required</v>
      </c>
      <c r="G210" s="145">
        <f t="shared" si="32"/>
        <v>3</v>
      </c>
      <c r="H210" s="144" t="str">
        <f t="shared" si="33"/>
        <v>Not Required</v>
      </c>
      <c r="I210" s="145">
        <f t="shared" si="34"/>
        <v>1</v>
      </c>
      <c r="J210" s="144" t="str">
        <f t="shared" si="35"/>
        <v>Not Required</v>
      </c>
      <c r="K210" s="145">
        <f t="shared" si="36"/>
        <v>1</v>
      </c>
      <c r="L210" s="144" t="str">
        <f t="shared" si="37"/>
        <v>Not Required</v>
      </c>
      <c r="M210" s="145">
        <f t="shared" si="38"/>
        <v>1</v>
      </c>
      <c r="N210" s="144" t="str">
        <f t="shared" si="39"/>
        <v>Not Required</v>
      </c>
      <c r="O210" s="52" t="s">
        <v>589</v>
      </c>
    </row>
    <row r="211" spans="1:15" ht="15.75" hidden="1" customHeight="1" outlineLevel="1" x14ac:dyDescent="0.25">
      <c r="A211" s="249"/>
      <c r="B211" s="46" t="s">
        <v>302</v>
      </c>
      <c r="C211" s="23" t="s">
        <v>592</v>
      </c>
      <c r="D211" s="29" t="s">
        <v>772</v>
      </c>
      <c r="E211" s="145">
        <f t="shared" si="30"/>
        <v>1</v>
      </c>
      <c r="F211" s="144" t="str">
        <f t="shared" si="31"/>
        <v>Not Required</v>
      </c>
      <c r="G211" s="145">
        <f t="shared" si="32"/>
        <v>3</v>
      </c>
      <c r="H211" s="144" t="str">
        <f t="shared" si="33"/>
        <v>Not Required</v>
      </c>
      <c r="I211" s="145">
        <f t="shared" si="34"/>
        <v>1</v>
      </c>
      <c r="J211" s="144" t="str">
        <f t="shared" si="35"/>
        <v>Not Required</v>
      </c>
      <c r="K211" s="145">
        <f t="shared" si="36"/>
        <v>1</v>
      </c>
      <c r="L211" s="144" t="str">
        <f t="shared" si="37"/>
        <v>Not Required</v>
      </c>
      <c r="M211" s="145">
        <f t="shared" si="38"/>
        <v>1</v>
      </c>
      <c r="N211" s="144" t="str">
        <f t="shared" si="39"/>
        <v>Not Required</v>
      </c>
      <c r="O211" s="52" t="s">
        <v>591</v>
      </c>
    </row>
    <row r="212" spans="1:15" ht="15.75" hidden="1" customHeight="1" outlineLevel="1" x14ac:dyDescent="0.25">
      <c r="A212" s="249"/>
      <c r="B212" s="46" t="s">
        <v>302</v>
      </c>
      <c r="C212" s="23" t="s">
        <v>594</v>
      </c>
      <c r="D212" s="29" t="s">
        <v>772</v>
      </c>
      <c r="E212" s="145">
        <f t="shared" si="30"/>
        <v>1</v>
      </c>
      <c r="F212" s="144" t="str">
        <f t="shared" si="31"/>
        <v>Not Required</v>
      </c>
      <c r="G212" s="145">
        <f t="shared" si="32"/>
        <v>3</v>
      </c>
      <c r="H212" s="144" t="str">
        <f t="shared" si="33"/>
        <v>Not Required</v>
      </c>
      <c r="I212" s="145">
        <f t="shared" si="34"/>
        <v>1</v>
      </c>
      <c r="J212" s="144" t="str">
        <f t="shared" si="35"/>
        <v>Not Required</v>
      </c>
      <c r="K212" s="145">
        <f t="shared" si="36"/>
        <v>1</v>
      </c>
      <c r="L212" s="144" t="str">
        <f t="shared" si="37"/>
        <v>Not Required</v>
      </c>
      <c r="M212" s="145">
        <f t="shared" si="38"/>
        <v>1</v>
      </c>
      <c r="N212" s="144" t="str">
        <f t="shared" si="39"/>
        <v>Not Required</v>
      </c>
      <c r="O212" s="52" t="s">
        <v>593</v>
      </c>
    </row>
    <row r="213" spans="1:15" ht="15.75" hidden="1" customHeight="1" outlineLevel="1" x14ac:dyDescent="0.25">
      <c r="A213" s="249"/>
      <c r="B213" s="46" t="s">
        <v>302</v>
      </c>
      <c r="C213" s="23" t="s">
        <v>596</v>
      </c>
      <c r="D213" s="29" t="s">
        <v>772</v>
      </c>
      <c r="E213" s="145">
        <f t="shared" si="30"/>
        <v>1</v>
      </c>
      <c r="F213" s="144" t="str">
        <f t="shared" si="31"/>
        <v>Not Required</v>
      </c>
      <c r="G213" s="145">
        <f t="shared" si="32"/>
        <v>3</v>
      </c>
      <c r="H213" s="144" t="str">
        <f t="shared" si="33"/>
        <v>Not Required</v>
      </c>
      <c r="I213" s="145">
        <f t="shared" si="34"/>
        <v>1</v>
      </c>
      <c r="J213" s="144" t="str">
        <f t="shared" si="35"/>
        <v>Not Required</v>
      </c>
      <c r="K213" s="145">
        <f t="shared" si="36"/>
        <v>1</v>
      </c>
      <c r="L213" s="144" t="str">
        <f t="shared" si="37"/>
        <v>Not Required</v>
      </c>
      <c r="M213" s="145">
        <f t="shared" si="38"/>
        <v>1</v>
      </c>
      <c r="N213" s="144" t="str">
        <f t="shared" si="39"/>
        <v>Not Required</v>
      </c>
      <c r="O213" s="52" t="s">
        <v>595</v>
      </c>
    </row>
    <row r="214" spans="1:15" ht="15.75" hidden="1" customHeight="1" outlineLevel="1" x14ac:dyDescent="0.25">
      <c r="A214" s="249"/>
      <c r="B214" s="46" t="s">
        <v>302</v>
      </c>
      <c r="C214" s="23" t="s">
        <v>264</v>
      </c>
      <c r="D214" s="29" t="s">
        <v>772</v>
      </c>
      <c r="E214" s="145">
        <f t="shared" si="30"/>
        <v>1</v>
      </c>
      <c r="F214" s="144" t="str">
        <f t="shared" si="31"/>
        <v>Not Required</v>
      </c>
      <c r="G214" s="145">
        <f t="shared" si="32"/>
        <v>3</v>
      </c>
      <c r="H214" s="144" t="str">
        <f t="shared" si="33"/>
        <v>Not Required</v>
      </c>
      <c r="I214" s="145">
        <f t="shared" si="34"/>
        <v>1</v>
      </c>
      <c r="J214" s="144" t="str">
        <f t="shared" si="35"/>
        <v>Not Required</v>
      </c>
      <c r="K214" s="145">
        <f t="shared" si="36"/>
        <v>1</v>
      </c>
      <c r="L214" s="144" t="str">
        <f t="shared" si="37"/>
        <v>Not Required</v>
      </c>
      <c r="M214" s="145">
        <f t="shared" si="38"/>
        <v>1</v>
      </c>
      <c r="N214" s="144" t="str">
        <f t="shared" si="39"/>
        <v>Not Required</v>
      </c>
      <c r="O214" s="52" t="s">
        <v>597</v>
      </c>
    </row>
    <row r="215" spans="1:15" ht="15.75" collapsed="1" x14ac:dyDescent="0.25">
      <c r="A215" s="249"/>
      <c r="B215" s="45" t="s">
        <v>303</v>
      </c>
      <c r="C215" s="21"/>
      <c r="D215" s="109" t="s">
        <v>772</v>
      </c>
      <c r="E215" s="145" t="str">
        <f t="shared" si="30"/>
        <v/>
      </c>
      <c r="F215" s="144" t="str">
        <f t="shared" si="31"/>
        <v>Not Required</v>
      </c>
      <c r="G215" s="145" t="str">
        <f t="shared" si="32"/>
        <v/>
      </c>
      <c r="H215" s="144" t="str">
        <f t="shared" si="33"/>
        <v>Not Required</v>
      </c>
      <c r="I215" s="145" t="str">
        <f t="shared" si="34"/>
        <v/>
      </c>
      <c r="J215" s="144" t="str">
        <f t="shared" si="35"/>
        <v>Not Required</v>
      </c>
      <c r="K215" s="145" t="str">
        <f t="shared" si="36"/>
        <v/>
      </c>
      <c r="L215" s="144" t="str">
        <f t="shared" si="37"/>
        <v>Not Required</v>
      </c>
      <c r="M215" s="145" t="str">
        <f t="shared" si="38"/>
        <v/>
      </c>
      <c r="N215" s="144" t="str">
        <f t="shared" si="39"/>
        <v>Not Required</v>
      </c>
      <c r="O215" s="52"/>
    </row>
    <row r="216" spans="1:15" ht="15.75" hidden="1" customHeight="1" outlineLevel="1" x14ac:dyDescent="0.25">
      <c r="A216" s="249"/>
      <c r="B216" s="46" t="s">
        <v>303</v>
      </c>
      <c r="C216" s="23" t="s">
        <v>304</v>
      </c>
      <c r="D216" s="29" t="s">
        <v>772</v>
      </c>
      <c r="E216" s="145">
        <f t="shared" si="30"/>
        <v>2</v>
      </c>
      <c r="F216" s="144" t="str">
        <f t="shared" si="31"/>
        <v>Not Required</v>
      </c>
      <c r="G216" s="145">
        <f t="shared" si="32"/>
        <v>3</v>
      </c>
      <c r="H216" s="144" t="str">
        <f t="shared" si="33"/>
        <v>Not Required</v>
      </c>
      <c r="I216" s="145">
        <f t="shared" si="34"/>
        <v>2</v>
      </c>
      <c r="J216" s="144" t="str">
        <f t="shared" si="35"/>
        <v>Not Required</v>
      </c>
      <c r="K216" s="145">
        <f t="shared" si="36"/>
        <v>2</v>
      </c>
      <c r="L216" s="144" t="str">
        <f t="shared" si="37"/>
        <v>Not Required</v>
      </c>
      <c r="M216" s="145">
        <f t="shared" si="38"/>
        <v>2</v>
      </c>
      <c r="N216" s="144" t="str">
        <f t="shared" si="39"/>
        <v>Not Required</v>
      </c>
      <c r="O216" s="52" t="s">
        <v>598</v>
      </c>
    </row>
    <row r="217" spans="1:15" ht="15.75" hidden="1" customHeight="1" outlineLevel="1" x14ac:dyDescent="0.25">
      <c r="A217" s="249"/>
      <c r="B217" s="46" t="s">
        <v>303</v>
      </c>
      <c r="C217" s="23" t="s">
        <v>305</v>
      </c>
      <c r="D217" s="29" t="s">
        <v>772</v>
      </c>
      <c r="E217" s="145">
        <f t="shared" si="30"/>
        <v>0</v>
      </c>
      <c r="F217" s="144" t="str">
        <f t="shared" si="31"/>
        <v>Not Required</v>
      </c>
      <c r="G217" s="145">
        <f t="shared" si="32"/>
        <v>0</v>
      </c>
      <c r="H217" s="144" t="str">
        <f t="shared" si="33"/>
        <v>Not Required</v>
      </c>
      <c r="I217" s="145">
        <f t="shared" si="34"/>
        <v>0</v>
      </c>
      <c r="J217" s="144" t="str">
        <f t="shared" si="35"/>
        <v>Not Required</v>
      </c>
      <c r="K217" s="145">
        <f t="shared" si="36"/>
        <v>0</v>
      </c>
      <c r="L217" s="144" t="str">
        <f t="shared" si="37"/>
        <v>Not Required</v>
      </c>
      <c r="M217" s="145">
        <f t="shared" si="38"/>
        <v>0</v>
      </c>
      <c r="N217" s="144" t="str">
        <f t="shared" si="39"/>
        <v>Not Required</v>
      </c>
      <c r="O217" s="52" t="s">
        <v>599</v>
      </c>
    </row>
    <row r="218" spans="1:15" ht="15.75" hidden="1" customHeight="1" outlineLevel="1" x14ac:dyDescent="0.25">
      <c r="A218" s="249"/>
      <c r="B218" s="46" t="s">
        <v>303</v>
      </c>
      <c r="C218" s="23" t="s">
        <v>306</v>
      </c>
      <c r="D218" s="29" t="s">
        <v>772</v>
      </c>
      <c r="E218" s="145">
        <f t="shared" si="30"/>
        <v>1</v>
      </c>
      <c r="F218" s="144" t="str">
        <f t="shared" si="31"/>
        <v>Not Required</v>
      </c>
      <c r="G218" s="145">
        <f t="shared" si="32"/>
        <v>3</v>
      </c>
      <c r="H218" s="144" t="str">
        <f t="shared" si="33"/>
        <v>Not Required</v>
      </c>
      <c r="I218" s="145">
        <f t="shared" si="34"/>
        <v>1</v>
      </c>
      <c r="J218" s="144" t="str">
        <f t="shared" si="35"/>
        <v>Not Required</v>
      </c>
      <c r="K218" s="145">
        <f t="shared" si="36"/>
        <v>1</v>
      </c>
      <c r="L218" s="144" t="str">
        <f t="shared" si="37"/>
        <v>Not Required</v>
      </c>
      <c r="M218" s="145">
        <f t="shared" si="38"/>
        <v>1</v>
      </c>
      <c r="N218" s="144" t="str">
        <f t="shared" si="39"/>
        <v>Not Required</v>
      </c>
      <c r="O218" s="52" t="s">
        <v>600</v>
      </c>
    </row>
    <row r="219" spans="1:15" ht="15.75" hidden="1" customHeight="1" outlineLevel="1" x14ac:dyDescent="0.25">
      <c r="A219" s="249"/>
      <c r="B219" s="46" t="s">
        <v>303</v>
      </c>
      <c r="C219" s="23" t="s">
        <v>307</v>
      </c>
      <c r="D219" s="29" t="s">
        <v>772</v>
      </c>
      <c r="E219" s="145">
        <f t="shared" si="30"/>
        <v>0</v>
      </c>
      <c r="F219" s="144" t="str">
        <f t="shared" si="31"/>
        <v>Not Required</v>
      </c>
      <c r="G219" s="145">
        <f t="shared" si="32"/>
        <v>0</v>
      </c>
      <c r="H219" s="144" t="str">
        <f t="shared" si="33"/>
        <v>Not Required</v>
      </c>
      <c r="I219" s="145">
        <f t="shared" si="34"/>
        <v>0</v>
      </c>
      <c r="J219" s="144" t="str">
        <f t="shared" si="35"/>
        <v>Not Required</v>
      </c>
      <c r="K219" s="145">
        <f t="shared" si="36"/>
        <v>0</v>
      </c>
      <c r="L219" s="144" t="str">
        <f t="shared" si="37"/>
        <v>Not Required</v>
      </c>
      <c r="M219" s="145">
        <f t="shared" si="38"/>
        <v>0</v>
      </c>
      <c r="N219" s="144" t="str">
        <f t="shared" si="39"/>
        <v>Not Required</v>
      </c>
      <c r="O219" s="52" t="s">
        <v>601</v>
      </c>
    </row>
    <row r="220" spans="1:15" ht="15.75" hidden="1" customHeight="1" outlineLevel="1" x14ac:dyDescent="0.25">
      <c r="A220" s="249"/>
      <c r="B220" s="46" t="s">
        <v>303</v>
      </c>
      <c r="C220" s="23" t="s">
        <v>308</v>
      </c>
      <c r="D220" s="29" t="s">
        <v>772</v>
      </c>
      <c r="E220" s="145">
        <f t="shared" si="30"/>
        <v>1</v>
      </c>
      <c r="F220" s="144" t="str">
        <f t="shared" si="31"/>
        <v>Not Required</v>
      </c>
      <c r="G220" s="145">
        <f t="shared" si="32"/>
        <v>2</v>
      </c>
      <c r="H220" s="144" t="str">
        <f t="shared" si="33"/>
        <v>Not Required</v>
      </c>
      <c r="I220" s="145">
        <f t="shared" si="34"/>
        <v>1</v>
      </c>
      <c r="J220" s="144" t="str">
        <f t="shared" si="35"/>
        <v>Not Required</v>
      </c>
      <c r="K220" s="145">
        <f t="shared" si="36"/>
        <v>1</v>
      </c>
      <c r="L220" s="144" t="str">
        <f t="shared" si="37"/>
        <v>Not Required</v>
      </c>
      <c r="M220" s="145">
        <f t="shared" si="38"/>
        <v>1</v>
      </c>
      <c r="N220" s="144" t="str">
        <f t="shared" si="39"/>
        <v>Not Required</v>
      </c>
      <c r="O220" s="52" t="s">
        <v>602</v>
      </c>
    </row>
    <row r="221" spans="1:15" ht="15.75" hidden="1" customHeight="1" outlineLevel="1" x14ac:dyDescent="0.25">
      <c r="A221" s="249"/>
      <c r="B221" s="46" t="s">
        <v>303</v>
      </c>
      <c r="C221" s="23" t="s">
        <v>309</v>
      </c>
      <c r="D221" s="29" t="s">
        <v>772</v>
      </c>
      <c r="E221" s="145">
        <f t="shared" si="30"/>
        <v>0</v>
      </c>
      <c r="F221" s="144" t="str">
        <f t="shared" si="31"/>
        <v>Not Required</v>
      </c>
      <c r="G221" s="145">
        <f t="shared" si="32"/>
        <v>0</v>
      </c>
      <c r="H221" s="144" t="str">
        <f t="shared" si="33"/>
        <v>Not Required</v>
      </c>
      <c r="I221" s="145">
        <f t="shared" si="34"/>
        <v>0</v>
      </c>
      <c r="J221" s="144" t="str">
        <f t="shared" si="35"/>
        <v>Not Required</v>
      </c>
      <c r="K221" s="145">
        <f t="shared" si="36"/>
        <v>0</v>
      </c>
      <c r="L221" s="144" t="str">
        <f t="shared" si="37"/>
        <v>Not Required</v>
      </c>
      <c r="M221" s="145">
        <f t="shared" si="38"/>
        <v>0</v>
      </c>
      <c r="N221" s="144" t="str">
        <f t="shared" si="39"/>
        <v>Not Required</v>
      </c>
      <c r="O221" s="52" t="s">
        <v>603</v>
      </c>
    </row>
    <row r="222" spans="1:15" ht="15.75" hidden="1" customHeight="1" outlineLevel="1" x14ac:dyDescent="0.25">
      <c r="A222" s="249"/>
      <c r="B222" s="46" t="s">
        <v>303</v>
      </c>
      <c r="C222" s="23" t="s">
        <v>310</v>
      </c>
      <c r="D222" s="29" t="s">
        <v>772</v>
      </c>
      <c r="E222" s="145">
        <f t="shared" si="30"/>
        <v>0</v>
      </c>
      <c r="F222" s="144" t="str">
        <f t="shared" si="31"/>
        <v>Not Required</v>
      </c>
      <c r="G222" s="145">
        <f t="shared" si="32"/>
        <v>0</v>
      </c>
      <c r="H222" s="144" t="str">
        <f t="shared" si="33"/>
        <v>Not Required</v>
      </c>
      <c r="I222" s="145">
        <f t="shared" si="34"/>
        <v>0</v>
      </c>
      <c r="J222" s="144" t="str">
        <f t="shared" si="35"/>
        <v>Not Required</v>
      </c>
      <c r="K222" s="145">
        <f t="shared" si="36"/>
        <v>0</v>
      </c>
      <c r="L222" s="144" t="str">
        <f t="shared" si="37"/>
        <v>Not Required</v>
      </c>
      <c r="M222" s="145">
        <f t="shared" si="38"/>
        <v>0</v>
      </c>
      <c r="N222" s="144" t="str">
        <f t="shared" si="39"/>
        <v>Not Required</v>
      </c>
      <c r="O222" s="52" t="s">
        <v>604</v>
      </c>
    </row>
    <row r="223" spans="1:15" ht="15.75" collapsed="1" x14ac:dyDescent="0.25">
      <c r="A223" s="249"/>
      <c r="B223" s="45" t="s">
        <v>94</v>
      </c>
      <c r="C223" s="21"/>
      <c r="D223" s="109" t="s">
        <v>772</v>
      </c>
      <c r="E223" s="145" t="str">
        <f t="shared" si="30"/>
        <v/>
      </c>
      <c r="F223" s="144" t="str">
        <f t="shared" si="31"/>
        <v>Not Required</v>
      </c>
      <c r="G223" s="145" t="str">
        <f t="shared" si="32"/>
        <v/>
      </c>
      <c r="H223" s="144" t="str">
        <f t="shared" si="33"/>
        <v>Not Required</v>
      </c>
      <c r="I223" s="145" t="str">
        <f t="shared" si="34"/>
        <v/>
      </c>
      <c r="J223" s="144" t="str">
        <f t="shared" si="35"/>
        <v>Not Required</v>
      </c>
      <c r="K223" s="145" t="str">
        <f t="shared" si="36"/>
        <v/>
      </c>
      <c r="L223" s="144" t="str">
        <f t="shared" si="37"/>
        <v>Not Required</v>
      </c>
      <c r="M223" s="145" t="str">
        <f t="shared" si="38"/>
        <v/>
      </c>
      <c r="N223" s="144" t="str">
        <f t="shared" si="39"/>
        <v>Not Required</v>
      </c>
      <c r="O223" s="52"/>
    </row>
    <row r="224" spans="1:15" hidden="1" outlineLevel="1" x14ac:dyDescent="0.25">
      <c r="A224" s="249"/>
      <c r="B224" s="22" t="s">
        <v>94</v>
      </c>
      <c r="C224" s="23" t="s">
        <v>95</v>
      </c>
      <c r="D224" s="29" t="s">
        <v>772</v>
      </c>
      <c r="E224" s="145">
        <f t="shared" si="30"/>
        <v>1</v>
      </c>
      <c r="F224" s="144" t="str">
        <f t="shared" si="31"/>
        <v>Not Required</v>
      </c>
      <c r="G224" s="145">
        <f t="shared" si="32"/>
        <v>3</v>
      </c>
      <c r="H224" s="144" t="str">
        <f t="shared" si="33"/>
        <v>Not Required</v>
      </c>
      <c r="I224" s="145">
        <f t="shared" si="34"/>
        <v>1</v>
      </c>
      <c r="J224" s="144" t="str">
        <f t="shared" si="35"/>
        <v>Not Required</v>
      </c>
      <c r="K224" s="145">
        <f t="shared" si="36"/>
        <v>1</v>
      </c>
      <c r="L224" s="144" t="str">
        <f t="shared" si="37"/>
        <v>Not Required</v>
      </c>
      <c r="M224" s="145">
        <f t="shared" si="38"/>
        <v>1</v>
      </c>
      <c r="N224" s="144" t="str">
        <f t="shared" si="39"/>
        <v>Not Required</v>
      </c>
      <c r="O224" s="52" t="s">
        <v>605</v>
      </c>
    </row>
    <row r="225" spans="1:15" hidden="1" outlineLevel="1" x14ac:dyDescent="0.25">
      <c r="A225" s="249"/>
      <c r="B225" s="22" t="s">
        <v>94</v>
      </c>
      <c r="C225" s="23" t="s">
        <v>96</v>
      </c>
      <c r="D225" s="29" t="s">
        <v>772</v>
      </c>
      <c r="E225" s="145">
        <f t="shared" si="30"/>
        <v>1</v>
      </c>
      <c r="F225" s="144" t="str">
        <f t="shared" si="31"/>
        <v>Not Required</v>
      </c>
      <c r="G225" s="145">
        <f t="shared" si="32"/>
        <v>3</v>
      </c>
      <c r="H225" s="144" t="str">
        <f t="shared" si="33"/>
        <v>Not Required</v>
      </c>
      <c r="I225" s="145">
        <f t="shared" si="34"/>
        <v>1</v>
      </c>
      <c r="J225" s="144" t="str">
        <f t="shared" si="35"/>
        <v>Not Required</v>
      </c>
      <c r="K225" s="145">
        <f t="shared" si="36"/>
        <v>1</v>
      </c>
      <c r="L225" s="144" t="str">
        <f t="shared" si="37"/>
        <v>Not Required</v>
      </c>
      <c r="M225" s="145">
        <f t="shared" si="38"/>
        <v>1</v>
      </c>
      <c r="N225" s="144" t="str">
        <f t="shared" si="39"/>
        <v>Not Required</v>
      </c>
      <c r="O225" s="52" t="s">
        <v>606</v>
      </c>
    </row>
    <row r="226" spans="1:15" hidden="1" outlineLevel="1" x14ac:dyDescent="0.25">
      <c r="A226" s="249"/>
      <c r="B226" s="22" t="s">
        <v>94</v>
      </c>
      <c r="C226" s="23" t="s">
        <v>97</v>
      </c>
      <c r="D226" s="29" t="s">
        <v>772</v>
      </c>
      <c r="E226" s="145">
        <f t="shared" si="30"/>
        <v>1</v>
      </c>
      <c r="F226" s="144" t="str">
        <f t="shared" si="31"/>
        <v>Not Required</v>
      </c>
      <c r="G226" s="145">
        <f t="shared" si="32"/>
        <v>3</v>
      </c>
      <c r="H226" s="144" t="str">
        <f t="shared" si="33"/>
        <v>Not Required</v>
      </c>
      <c r="I226" s="145">
        <f t="shared" si="34"/>
        <v>1</v>
      </c>
      <c r="J226" s="144" t="str">
        <f t="shared" si="35"/>
        <v>Not Required</v>
      </c>
      <c r="K226" s="145">
        <f t="shared" si="36"/>
        <v>1</v>
      </c>
      <c r="L226" s="144" t="str">
        <f t="shared" si="37"/>
        <v>Not Required</v>
      </c>
      <c r="M226" s="145">
        <f t="shared" si="38"/>
        <v>1</v>
      </c>
      <c r="N226" s="144" t="str">
        <f t="shared" si="39"/>
        <v>Not Required</v>
      </c>
      <c r="O226" s="52" t="s">
        <v>607</v>
      </c>
    </row>
    <row r="227" spans="1:15" hidden="1" outlineLevel="1" x14ac:dyDescent="0.25">
      <c r="A227" s="249"/>
      <c r="B227" s="22" t="s">
        <v>94</v>
      </c>
      <c r="C227" s="23" t="s">
        <v>98</v>
      </c>
      <c r="D227" s="29" t="s">
        <v>772</v>
      </c>
      <c r="E227" s="145">
        <f t="shared" si="30"/>
        <v>1</v>
      </c>
      <c r="F227" s="144" t="str">
        <f t="shared" si="31"/>
        <v>Not Required</v>
      </c>
      <c r="G227" s="145">
        <f t="shared" si="32"/>
        <v>3</v>
      </c>
      <c r="H227" s="144" t="str">
        <f t="shared" si="33"/>
        <v>Not Required</v>
      </c>
      <c r="I227" s="145">
        <f t="shared" si="34"/>
        <v>1</v>
      </c>
      <c r="J227" s="144" t="str">
        <f t="shared" si="35"/>
        <v>Not Required</v>
      </c>
      <c r="K227" s="145">
        <f t="shared" si="36"/>
        <v>1</v>
      </c>
      <c r="L227" s="144" t="str">
        <f t="shared" si="37"/>
        <v>Not Required</v>
      </c>
      <c r="M227" s="145">
        <f t="shared" si="38"/>
        <v>1</v>
      </c>
      <c r="N227" s="144" t="str">
        <f t="shared" si="39"/>
        <v>Not Required</v>
      </c>
      <c r="O227" s="52" t="s">
        <v>608</v>
      </c>
    </row>
    <row r="228" spans="1:15" hidden="1" outlineLevel="1" x14ac:dyDescent="0.25">
      <c r="A228" s="250"/>
      <c r="B228" s="22" t="s">
        <v>94</v>
      </c>
      <c r="C228" s="23" t="s">
        <v>99</v>
      </c>
      <c r="D228" s="29" t="s">
        <v>772</v>
      </c>
      <c r="E228" s="145">
        <f t="shared" si="30"/>
        <v>1</v>
      </c>
      <c r="F228" s="144" t="str">
        <f t="shared" si="31"/>
        <v>Not Required</v>
      </c>
      <c r="G228" s="145">
        <f t="shared" si="32"/>
        <v>3</v>
      </c>
      <c r="H228" s="144" t="str">
        <f t="shared" si="33"/>
        <v>Not Required</v>
      </c>
      <c r="I228" s="145">
        <f t="shared" si="34"/>
        <v>1</v>
      </c>
      <c r="J228" s="144" t="str">
        <f t="shared" si="35"/>
        <v>Not Required</v>
      </c>
      <c r="K228" s="145">
        <f t="shared" si="36"/>
        <v>1</v>
      </c>
      <c r="L228" s="144" t="str">
        <f t="shared" si="37"/>
        <v>Not Required</v>
      </c>
      <c r="M228" s="145">
        <f t="shared" si="38"/>
        <v>1</v>
      </c>
      <c r="N228" s="144" t="str">
        <f t="shared" si="39"/>
        <v>Not Required</v>
      </c>
      <c r="O228" s="52" t="s">
        <v>609</v>
      </c>
    </row>
    <row r="229" spans="1:15" ht="15" customHeight="1" collapsed="1" x14ac:dyDescent="0.25">
      <c r="A229" s="28" t="s">
        <v>693</v>
      </c>
      <c r="B229" s="28"/>
      <c r="C229" s="24">
        <f>ROW()+2+COUNTA(C230:C242)</f>
        <v>235</v>
      </c>
      <c r="D229" s="55"/>
      <c r="E229" s="111" t="e">
        <f t="shared" ref="E229:E230" si="40">VLOOKUP($C229,Skills_DB,MATCH(F$5&amp;E$3,SkillRoles,0),0)</f>
        <v>#N/A</v>
      </c>
      <c r="F229" s="112" t="e">
        <f>IF($C229&lt;&gt;"",VLOOKUP($C229,Skills_DB,MATCH(#REF!&amp;F$3,SkillRoles,0),0),"")</f>
        <v>#REF!</v>
      </c>
      <c r="G229" s="111" t="e">
        <f t="shared" ref="G229:G230" si="41">VLOOKUP($C229,Skills_DB,MATCH(H$5&amp;G$3,SkillRoles,0),0)</f>
        <v>#N/A</v>
      </c>
      <c r="H229" s="112">
        <f t="shared" si="33"/>
        <v>0</v>
      </c>
      <c r="I229" s="111" t="e">
        <f t="shared" ref="I229:I230" si="42">VLOOKUP($C229,Skills_DB,MATCH(J$5&amp;I$3,SkillRoles,0),0)</f>
        <v>#N/A</v>
      </c>
      <c r="J229" s="112">
        <f t="shared" si="35"/>
        <v>0</v>
      </c>
      <c r="K229" s="111" t="e">
        <f t="shared" ref="K229:K230" si="43">VLOOKUP($C229,Skills_DB,MATCH(L$5&amp;K$3,SkillRoles,0),0)</f>
        <v>#N/A</v>
      </c>
      <c r="L229" s="112">
        <f t="shared" si="37"/>
        <v>0</v>
      </c>
      <c r="M229" s="111" t="e">
        <f t="shared" ref="M229:M230" si="44">VLOOKUP($C229,Skills_DB,MATCH(N$5&amp;M$3,SkillRoles,0),0)</f>
        <v>#N/A</v>
      </c>
      <c r="N229" s="112">
        <f t="shared" si="39"/>
        <v>0</v>
      </c>
    </row>
    <row r="230" spans="1:15" ht="15" hidden="1" customHeight="1" outlineLevel="1" x14ac:dyDescent="0.25">
      <c r="A230" s="2" t="s">
        <v>0</v>
      </c>
      <c r="B230" s="2" t="s">
        <v>7</v>
      </c>
      <c r="C230" s="4" t="s">
        <v>8</v>
      </c>
      <c r="D230" s="4"/>
      <c r="E230" s="111" t="str">
        <f t="shared" si="40"/>
        <v>DeveloperGrade A</v>
      </c>
      <c r="F230" s="112" t="e">
        <f>IF($C230&lt;&gt;"",VLOOKUP($C230,Skills_DB,MATCH(#REF!&amp;F$3,SkillRoles,0),0),"")</f>
        <v>#REF!</v>
      </c>
      <c r="G230" s="111" t="str">
        <f t="shared" si="41"/>
        <v>DeveloperGrade D</v>
      </c>
      <c r="H230" s="112">
        <f t="shared" si="33"/>
        <v>0</v>
      </c>
      <c r="I230" s="111" t="str">
        <f t="shared" si="42"/>
        <v>DeveloperGrade A</v>
      </c>
      <c r="J230" s="112">
        <f t="shared" si="35"/>
        <v>0</v>
      </c>
      <c r="K230" s="111" t="str">
        <f t="shared" si="43"/>
        <v>DeveloperGrade A</v>
      </c>
      <c r="L230" s="112">
        <f t="shared" si="37"/>
        <v>0</v>
      </c>
      <c r="M230" s="111" t="str">
        <f t="shared" si="44"/>
        <v>DeveloperGrade A</v>
      </c>
      <c r="N230" s="112">
        <f t="shared" si="39"/>
        <v>0</v>
      </c>
    </row>
    <row r="231" spans="1:15" hidden="1" outlineLevel="1" x14ac:dyDescent="0.25">
      <c r="A231" s="26">
        <v>1</v>
      </c>
      <c r="B231" s="27" t="s">
        <v>10</v>
      </c>
      <c r="C231" s="31" t="s">
        <v>794</v>
      </c>
      <c r="D231" s="29" t="s">
        <v>774</v>
      </c>
      <c r="E231" s="113">
        <v>2</v>
      </c>
      <c r="F231" s="114" t="str">
        <f t="shared" ref="F231:F235" si="45">$D231</f>
        <v>Required</v>
      </c>
      <c r="G231" s="113">
        <v>2</v>
      </c>
      <c r="H231" s="114" t="str">
        <f t="shared" si="33"/>
        <v>Required</v>
      </c>
      <c r="I231" s="113">
        <v>2</v>
      </c>
      <c r="J231" s="114" t="str">
        <f t="shared" si="35"/>
        <v>Required</v>
      </c>
      <c r="K231" s="113">
        <v>2</v>
      </c>
      <c r="L231" s="114" t="str">
        <f t="shared" si="37"/>
        <v>Required</v>
      </c>
      <c r="M231" s="113">
        <v>2</v>
      </c>
      <c r="N231" s="114" t="str">
        <f t="shared" si="39"/>
        <v>Required</v>
      </c>
    </row>
    <row r="232" spans="1:15" hidden="1" outlineLevel="1" x14ac:dyDescent="0.25">
      <c r="A232" s="26">
        <v>2</v>
      </c>
      <c r="B232" s="27" t="s">
        <v>10</v>
      </c>
      <c r="C232" s="31" t="s">
        <v>795</v>
      </c>
      <c r="D232" s="29" t="s">
        <v>774</v>
      </c>
      <c r="E232" s="113">
        <v>2</v>
      </c>
      <c r="F232" s="114" t="str">
        <f t="shared" si="45"/>
        <v>Required</v>
      </c>
      <c r="G232" s="113">
        <v>2</v>
      </c>
      <c r="H232" s="114" t="str">
        <f t="shared" si="33"/>
        <v>Required</v>
      </c>
      <c r="I232" s="113">
        <v>2</v>
      </c>
      <c r="J232" s="114" t="str">
        <f t="shared" si="35"/>
        <v>Required</v>
      </c>
      <c r="K232" s="113">
        <v>2</v>
      </c>
      <c r="L232" s="114" t="str">
        <f t="shared" si="37"/>
        <v>Required</v>
      </c>
      <c r="M232" s="113">
        <v>2</v>
      </c>
      <c r="N232" s="114" t="str">
        <f t="shared" si="39"/>
        <v>Required</v>
      </c>
    </row>
    <row r="233" spans="1:15" hidden="1" outlineLevel="1" x14ac:dyDescent="0.25">
      <c r="A233" s="26">
        <v>3</v>
      </c>
      <c r="B233" s="27" t="s">
        <v>10</v>
      </c>
      <c r="C233" s="31" t="s">
        <v>796</v>
      </c>
      <c r="D233" s="29" t="s">
        <v>774</v>
      </c>
      <c r="E233" s="113">
        <v>2</v>
      </c>
      <c r="F233" s="114" t="str">
        <f t="shared" si="45"/>
        <v>Required</v>
      </c>
      <c r="G233" s="113">
        <v>2</v>
      </c>
      <c r="H233" s="114" t="str">
        <f t="shared" si="33"/>
        <v>Required</v>
      </c>
      <c r="I233" s="113">
        <v>2</v>
      </c>
      <c r="J233" s="114" t="str">
        <f t="shared" si="35"/>
        <v>Required</v>
      </c>
      <c r="K233" s="113">
        <v>2</v>
      </c>
      <c r="L233" s="114" t="str">
        <f t="shared" si="37"/>
        <v>Required</v>
      </c>
      <c r="M233" s="113">
        <v>2</v>
      </c>
      <c r="N233" s="114" t="str">
        <f t="shared" si="39"/>
        <v>Required</v>
      </c>
    </row>
    <row r="234" spans="1:15" hidden="1" outlineLevel="1" x14ac:dyDescent="0.25">
      <c r="A234" s="26"/>
      <c r="B234" s="27"/>
      <c r="C234" s="31"/>
      <c r="D234" s="29"/>
      <c r="E234" s="113"/>
      <c r="F234" s="114">
        <f t="shared" si="45"/>
        <v>0</v>
      </c>
      <c r="G234" s="113"/>
      <c r="H234" s="114">
        <f t="shared" si="33"/>
        <v>0</v>
      </c>
      <c r="I234" s="113"/>
      <c r="J234" s="114">
        <f t="shared" si="35"/>
        <v>0</v>
      </c>
      <c r="K234" s="113"/>
      <c r="L234" s="114">
        <f t="shared" si="37"/>
        <v>0</v>
      </c>
      <c r="M234" s="113"/>
      <c r="N234" s="114">
        <f t="shared" si="39"/>
        <v>0</v>
      </c>
    </row>
    <row r="235" spans="1:15" hidden="1" outlineLevel="1" x14ac:dyDescent="0.25">
      <c r="A235" s="26"/>
      <c r="B235" s="27"/>
      <c r="C235" s="31"/>
      <c r="D235" s="29"/>
      <c r="E235" s="113"/>
      <c r="F235" s="114">
        <f t="shared" si="45"/>
        <v>0</v>
      </c>
      <c r="G235" s="113"/>
      <c r="H235" s="114">
        <f t="shared" si="33"/>
        <v>0</v>
      </c>
      <c r="I235" s="113"/>
      <c r="J235" s="114">
        <f t="shared" si="35"/>
        <v>0</v>
      </c>
      <c r="K235" s="113"/>
      <c r="L235" s="114">
        <f t="shared" si="37"/>
        <v>0</v>
      </c>
      <c r="M235" s="113"/>
      <c r="N235" s="114">
        <f t="shared" si="39"/>
        <v>0</v>
      </c>
    </row>
    <row r="236" spans="1:15" hidden="1" outlineLevel="1" x14ac:dyDescent="0.25">
      <c r="A236" s="26"/>
      <c r="B236" s="27"/>
      <c r="C236" s="31"/>
      <c r="D236" s="29"/>
      <c r="E236" s="113"/>
      <c r="F236" s="114">
        <f t="shared" ref="F236:N236" si="46">$D236</f>
        <v>0</v>
      </c>
      <c r="G236" s="113"/>
      <c r="H236" s="114">
        <f t="shared" si="46"/>
        <v>0</v>
      </c>
      <c r="I236" s="113"/>
      <c r="J236" s="114">
        <f t="shared" si="46"/>
        <v>0</v>
      </c>
      <c r="K236" s="113"/>
      <c r="L236" s="114">
        <f t="shared" si="46"/>
        <v>0</v>
      </c>
      <c r="M236" s="113"/>
      <c r="N236" s="114">
        <f t="shared" si="46"/>
        <v>0</v>
      </c>
    </row>
    <row r="237" spans="1:15" hidden="1" outlineLevel="1" x14ac:dyDescent="0.25">
      <c r="A237" s="26"/>
      <c r="B237" s="27"/>
      <c r="C237" s="31"/>
      <c r="D237" s="29"/>
      <c r="E237" s="113"/>
      <c r="F237" s="114"/>
      <c r="G237" s="113"/>
      <c r="H237" s="114"/>
      <c r="I237" s="113"/>
      <c r="J237" s="114"/>
      <c r="K237" s="113"/>
      <c r="L237" s="114"/>
      <c r="M237" s="113"/>
      <c r="N237" s="114"/>
    </row>
    <row r="238" spans="1:15" hidden="1" outlineLevel="1" x14ac:dyDescent="0.25">
      <c r="A238" s="26"/>
      <c r="B238" s="27"/>
      <c r="C238" s="31"/>
      <c r="D238" s="29"/>
      <c r="E238" s="113"/>
      <c r="F238" s="114"/>
      <c r="G238" s="113"/>
      <c r="H238" s="114"/>
      <c r="I238" s="113"/>
      <c r="J238" s="114"/>
      <c r="K238" s="113"/>
      <c r="L238" s="114"/>
      <c r="M238" s="113"/>
      <c r="N238" s="114"/>
    </row>
    <row r="239" spans="1:15" hidden="1" outlineLevel="1" x14ac:dyDescent="0.25">
      <c r="A239" s="26"/>
      <c r="B239" s="27"/>
      <c r="C239" s="31"/>
      <c r="D239" s="29"/>
      <c r="E239" s="113"/>
      <c r="F239" s="114"/>
      <c r="G239" s="113"/>
      <c r="H239" s="114"/>
      <c r="I239" s="113"/>
      <c r="J239" s="114"/>
      <c r="K239" s="113"/>
      <c r="L239" s="114"/>
      <c r="M239" s="113"/>
      <c r="N239" s="114"/>
    </row>
    <row r="240" spans="1:15" x14ac:dyDescent="0.25">
      <c r="A240" s="27"/>
      <c r="B240" s="27"/>
      <c r="C240" s="31"/>
      <c r="D240" s="29"/>
      <c r="E240" s="113"/>
      <c r="F240" s="114">
        <f t="shared" ref="F240:N240" si="47">$D240</f>
        <v>0</v>
      </c>
      <c r="G240" s="113"/>
      <c r="H240" s="114">
        <f t="shared" si="47"/>
        <v>0</v>
      </c>
      <c r="I240" s="113"/>
      <c r="J240" s="114">
        <f t="shared" si="47"/>
        <v>0</v>
      </c>
      <c r="K240" s="113"/>
      <c r="L240" s="114">
        <f t="shared" si="47"/>
        <v>0</v>
      </c>
      <c r="M240" s="113"/>
      <c r="N240" s="114">
        <f t="shared" si="47"/>
        <v>0</v>
      </c>
    </row>
    <row r="241" spans="6:14" x14ac:dyDescent="0.25">
      <c r="F241" s="104"/>
      <c r="H241" s="104"/>
      <c r="J241" s="104"/>
      <c r="L241" s="104"/>
      <c r="N241" s="104"/>
    </row>
    <row r="242" spans="6:14" x14ac:dyDescent="0.25">
      <c r="F242" s="104"/>
      <c r="H242" s="104"/>
      <c r="J242" s="104"/>
      <c r="L242" s="104"/>
      <c r="N242" s="104"/>
    </row>
  </sheetData>
  <sheetProtection algorithmName="SHA-512" hashValue="+6qlI8P/ZuXjwbxUUOxPr/F/RFHEecajmNIRC67pecl6pj4iFXtYbrcWuDB4WSh3U9OKz9qFtGFigpsbkQD2EA==" saltValue="EfUqWgM4gCBC/x3wSPaN3A==" spinCount="100000" sheet="1" objects="1" scenarios="1"/>
  <autoFilter ref="A7:D240" xr:uid="{00000000-0009-0000-0000-000004000000}"/>
  <mergeCells count="25">
    <mergeCell ref="M3:N3"/>
    <mergeCell ref="M4:N4"/>
    <mergeCell ref="M6:N6"/>
    <mergeCell ref="A70:A228"/>
    <mergeCell ref="E3:F3"/>
    <mergeCell ref="E4:F4"/>
    <mergeCell ref="E6:F6"/>
    <mergeCell ref="A2:C5"/>
    <mergeCell ref="A6:D6"/>
    <mergeCell ref="O6:O7"/>
    <mergeCell ref="A8:A69"/>
    <mergeCell ref="E2:F2"/>
    <mergeCell ref="G2:H2"/>
    <mergeCell ref="G3:H3"/>
    <mergeCell ref="G4:H4"/>
    <mergeCell ref="G6:H6"/>
    <mergeCell ref="I2:J2"/>
    <mergeCell ref="I3:J3"/>
    <mergeCell ref="I4:J4"/>
    <mergeCell ref="I6:J6"/>
    <mergeCell ref="K2:L2"/>
    <mergeCell ref="K3:L3"/>
    <mergeCell ref="K4:L4"/>
    <mergeCell ref="K6:L6"/>
    <mergeCell ref="M2:N2"/>
  </mergeCells>
  <conditionalFormatting sqref="E229:F230 E241:F242">
    <cfRule type="cellIs" dxfId="182" priority="893" operator="equal">
      <formula>3</formula>
    </cfRule>
    <cfRule type="cellIs" dxfId="181" priority="894" operator="equal">
      <formula>2</formula>
    </cfRule>
    <cfRule type="cellIs" dxfId="180" priority="895" operator="equal">
      <formula>1</formula>
    </cfRule>
    <cfRule type="cellIs" dxfId="179" priority="896" operator="equal">
      <formula>0</formula>
    </cfRule>
  </conditionalFormatting>
  <conditionalFormatting sqref="E178:F228 E26:F147">
    <cfRule type="cellIs" dxfId="178" priority="209" operator="equal">
      <formula>3</formula>
    </cfRule>
    <cfRule type="cellIs" dxfId="177" priority="210" operator="equal">
      <formula>2</formula>
    </cfRule>
    <cfRule type="cellIs" dxfId="176" priority="211" operator="equal">
      <formula>1</formula>
    </cfRule>
    <cfRule type="cellIs" dxfId="175" priority="212" operator="equal">
      <formula>0</formula>
    </cfRule>
  </conditionalFormatting>
  <conditionalFormatting sqref="E8:E25 F9:F25">
    <cfRule type="cellIs" dxfId="174" priority="205" operator="equal">
      <formula>3</formula>
    </cfRule>
    <cfRule type="cellIs" dxfId="173" priority="206" operator="equal">
      <formula>2</formula>
    </cfRule>
    <cfRule type="cellIs" dxfId="172" priority="207" operator="equal">
      <formula>1</formula>
    </cfRule>
    <cfRule type="cellIs" dxfId="171" priority="208" operator="equal">
      <formula>0</formula>
    </cfRule>
  </conditionalFormatting>
  <conditionalFormatting sqref="F8">
    <cfRule type="cellIs" dxfId="170" priority="201" operator="equal">
      <formula>3</formula>
    </cfRule>
    <cfRule type="cellIs" dxfId="169" priority="202" operator="equal">
      <formula>2</formula>
    </cfRule>
    <cfRule type="cellIs" dxfId="168" priority="203" operator="equal">
      <formula>1</formula>
    </cfRule>
    <cfRule type="cellIs" dxfId="167" priority="204" operator="equal">
      <formula>0</formula>
    </cfRule>
  </conditionalFormatting>
  <conditionalFormatting sqref="E166:F177">
    <cfRule type="cellIs" dxfId="166" priority="197" operator="equal">
      <formula>3</formula>
    </cfRule>
    <cfRule type="cellIs" dxfId="165" priority="198" operator="equal">
      <formula>2</formula>
    </cfRule>
    <cfRule type="cellIs" dxfId="164" priority="199" operator="equal">
      <formula>1</formula>
    </cfRule>
    <cfRule type="cellIs" dxfId="163" priority="200" operator="equal">
      <formula>0</formula>
    </cfRule>
  </conditionalFormatting>
  <conditionalFormatting sqref="E148:F157 E162:F165">
    <cfRule type="cellIs" dxfId="162" priority="193" operator="equal">
      <formula>3</formula>
    </cfRule>
    <cfRule type="cellIs" dxfId="161" priority="194" operator="equal">
      <formula>2</formula>
    </cfRule>
    <cfRule type="cellIs" dxfId="160" priority="195" operator="equal">
      <formula>1</formula>
    </cfRule>
    <cfRule type="cellIs" dxfId="159" priority="196" operator="equal">
      <formula>0</formula>
    </cfRule>
  </conditionalFormatting>
  <conditionalFormatting sqref="E158:F161">
    <cfRule type="cellIs" dxfId="158" priority="189" operator="equal">
      <formula>3</formula>
    </cfRule>
    <cfRule type="cellIs" dxfId="157" priority="190" operator="equal">
      <formula>2</formula>
    </cfRule>
    <cfRule type="cellIs" dxfId="156" priority="191" operator="equal">
      <formula>1</formula>
    </cfRule>
    <cfRule type="cellIs" dxfId="155" priority="192" operator="equal">
      <formula>0</formula>
    </cfRule>
  </conditionalFormatting>
  <conditionalFormatting sqref="E231:F240">
    <cfRule type="cellIs" dxfId="154" priority="185" operator="equal">
      <formula>3</formula>
    </cfRule>
    <cfRule type="cellIs" dxfId="153" priority="186" operator="equal">
      <formula>2</formula>
    </cfRule>
    <cfRule type="cellIs" dxfId="152" priority="187" operator="equal">
      <formula>1</formula>
    </cfRule>
    <cfRule type="cellIs" dxfId="151" priority="188" operator="equal">
      <formula>0</formula>
    </cfRule>
  </conditionalFormatting>
  <conditionalFormatting sqref="G229:H230 G241:H242">
    <cfRule type="cellIs" dxfId="150" priority="157" operator="equal">
      <formula>3</formula>
    </cfRule>
    <cfRule type="cellIs" dxfId="149" priority="158" operator="equal">
      <formula>2</formula>
    </cfRule>
    <cfRule type="cellIs" dxfId="148" priority="159" operator="equal">
      <formula>1</formula>
    </cfRule>
    <cfRule type="cellIs" dxfId="147" priority="160" operator="equal">
      <formula>0</formula>
    </cfRule>
  </conditionalFormatting>
  <conditionalFormatting sqref="G178:H228 G26:H147">
    <cfRule type="cellIs" dxfId="146" priority="153" operator="equal">
      <formula>3</formula>
    </cfRule>
    <cfRule type="cellIs" dxfId="145" priority="154" operator="equal">
      <formula>2</formula>
    </cfRule>
    <cfRule type="cellIs" dxfId="144" priority="155" operator="equal">
      <formula>1</formula>
    </cfRule>
    <cfRule type="cellIs" dxfId="143" priority="156" operator="equal">
      <formula>0</formula>
    </cfRule>
  </conditionalFormatting>
  <conditionalFormatting sqref="G8:G25 H9:H25">
    <cfRule type="cellIs" dxfId="142" priority="149" operator="equal">
      <formula>3</formula>
    </cfRule>
    <cfRule type="cellIs" dxfId="141" priority="150" operator="equal">
      <formula>2</formula>
    </cfRule>
    <cfRule type="cellIs" dxfId="140" priority="151" operator="equal">
      <formula>1</formula>
    </cfRule>
    <cfRule type="cellIs" dxfId="139" priority="152" operator="equal">
      <formula>0</formula>
    </cfRule>
  </conditionalFormatting>
  <conditionalFormatting sqref="H8">
    <cfRule type="cellIs" dxfId="138" priority="145" operator="equal">
      <formula>3</formula>
    </cfRule>
    <cfRule type="cellIs" dxfId="137" priority="146" operator="equal">
      <formula>2</formula>
    </cfRule>
    <cfRule type="cellIs" dxfId="136" priority="147" operator="equal">
      <formula>1</formula>
    </cfRule>
    <cfRule type="cellIs" dxfId="135" priority="148" operator="equal">
      <formula>0</formula>
    </cfRule>
  </conditionalFormatting>
  <conditionalFormatting sqref="G166:H177">
    <cfRule type="cellIs" dxfId="134" priority="141" operator="equal">
      <formula>3</formula>
    </cfRule>
    <cfRule type="cellIs" dxfId="133" priority="142" operator="equal">
      <formula>2</formula>
    </cfRule>
    <cfRule type="cellIs" dxfId="132" priority="143" operator="equal">
      <formula>1</formula>
    </cfRule>
    <cfRule type="cellIs" dxfId="131" priority="144" operator="equal">
      <formula>0</formula>
    </cfRule>
  </conditionalFormatting>
  <conditionalFormatting sqref="G148:H157 G162:H165">
    <cfRule type="cellIs" dxfId="130" priority="137" operator="equal">
      <formula>3</formula>
    </cfRule>
    <cfRule type="cellIs" dxfId="129" priority="138" operator="equal">
      <formula>2</formula>
    </cfRule>
    <cfRule type="cellIs" dxfId="128" priority="139" operator="equal">
      <formula>1</formula>
    </cfRule>
    <cfRule type="cellIs" dxfId="127" priority="140" operator="equal">
      <formula>0</formula>
    </cfRule>
  </conditionalFormatting>
  <conditionalFormatting sqref="G158:H161">
    <cfRule type="cellIs" dxfId="126" priority="133" operator="equal">
      <formula>3</formula>
    </cfRule>
    <cfRule type="cellIs" dxfId="125" priority="134" operator="equal">
      <formula>2</formula>
    </cfRule>
    <cfRule type="cellIs" dxfId="124" priority="135" operator="equal">
      <formula>1</formula>
    </cfRule>
    <cfRule type="cellIs" dxfId="123" priority="136" operator="equal">
      <formula>0</formula>
    </cfRule>
  </conditionalFormatting>
  <conditionalFormatting sqref="G231:H240">
    <cfRule type="cellIs" dxfId="122" priority="129" operator="equal">
      <formula>3</formula>
    </cfRule>
    <cfRule type="cellIs" dxfId="121" priority="130" operator="equal">
      <formula>2</formula>
    </cfRule>
    <cfRule type="cellIs" dxfId="120" priority="131" operator="equal">
      <formula>1</formula>
    </cfRule>
    <cfRule type="cellIs" dxfId="119" priority="132" operator="equal">
      <formula>0</formula>
    </cfRule>
  </conditionalFormatting>
  <conditionalFormatting sqref="I229:J230 I241:J242">
    <cfRule type="cellIs" dxfId="118" priority="93" operator="equal">
      <formula>3</formula>
    </cfRule>
    <cfRule type="cellIs" dxfId="117" priority="94" operator="equal">
      <formula>2</formula>
    </cfRule>
    <cfRule type="cellIs" dxfId="116" priority="95" operator="equal">
      <formula>1</formula>
    </cfRule>
    <cfRule type="cellIs" dxfId="115" priority="96" operator="equal">
      <formula>0</formula>
    </cfRule>
  </conditionalFormatting>
  <conditionalFormatting sqref="I178:J228 I26:J147">
    <cfRule type="cellIs" dxfId="114" priority="89" operator="equal">
      <formula>3</formula>
    </cfRule>
    <cfRule type="cellIs" dxfId="113" priority="90" operator="equal">
      <formula>2</formula>
    </cfRule>
    <cfRule type="cellIs" dxfId="112" priority="91" operator="equal">
      <formula>1</formula>
    </cfRule>
    <cfRule type="cellIs" dxfId="111" priority="92" operator="equal">
      <formula>0</formula>
    </cfRule>
  </conditionalFormatting>
  <conditionalFormatting sqref="I8:I25 J9:J25">
    <cfRule type="cellIs" dxfId="110" priority="85" operator="equal">
      <formula>3</formula>
    </cfRule>
    <cfRule type="cellIs" dxfId="109" priority="86" operator="equal">
      <formula>2</formula>
    </cfRule>
    <cfRule type="cellIs" dxfId="108" priority="87" operator="equal">
      <formula>1</formula>
    </cfRule>
    <cfRule type="cellIs" dxfId="107" priority="88" operator="equal">
      <formula>0</formula>
    </cfRule>
  </conditionalFormatting>
  <conditionalFormatting sqref="J8">
    <cfRule type="cellIs" dxfId="106" priority="81" operator="equal">
      <formula>3</formula>
    </cfRule>
    <cfRule type="cellIs" dxfId="105" priority="82" operator="equal">
      <formula>2</formula>
    </cfRule>
    <cfRule type="cellIs" dxfId="104" priority="83" operator="equal">
      <formula>1</formula>
    </cfRule>
    <cfRule type="cellIs" dxfId="103" priority="84" operator="equal">
      <formula>0</formula>
    </cfRule>
  </conditionalFormatting>
  <conditionalFormatting sqref="I166:J177">
    <cfRule type="cellIs" dxfId="102" priority="77" operator="equal">
      <formula>3</formula>
    </cfRule>
    <cfRule type="cellIs" dxfId="101" priority="78" operator="equal">
      <formula>2</formula>
    </cfRule>
    <cfRule type="cellIs" dxfId="100" priority="79" operator="equal">
      <formula>1</formula>
    </cfRule>
    <cfRule type="cellIs" dxfId="99" priority="80" operator="equal">
      <formula>0</formula>
    </cfRule>
  </conditionalFormatting>
  <conditionalFormatting sqref="I148:J157 I162:J165">
    <cfRule type="cellIs" dxfId="98" priority="73" operator="equal">
      <formula>3</formula>
    </cfRule>
    <cfRule type="cellIs" dxfId="97" priority="74" operator="equal">
      <formula>2</formula>
    </cfRule>
    <cfRule type="cellIs" dxfId="96" priority="75" operator="equal">
      <formula>1</formula>
    </cfRule>
    <cfRule type="cellIs" dxfId="95" priority="76" operator="equal">
      <formula>0</formula>
    </cfRule>
  </conditionalFormatting>
  <conditionalFormatting sqref="I158:J161">
    <cfRule type="cellIs" dxfId="94" priority="69" operator="equal">
      <formula>3</formula>
    </cfRule>
    <cfRule type="cellIs" dxfId="93" priority="70" operator="equal">
      <formula>2</formula>
    </cfRule>
    <cfRule type="cellIs" dxfId="92" priority="71" operator="equal">
      <formula>1</formula>
    </cfRule>
    <cfRule type="cellIs" dxfId="91" priority="72" operator="equal">
      <formula>0</formula>
    </cfRule>
  </conditionalFormatting>
  <conditionalFormatting sqref="I231:J240">
    <cfRule type="cellIs" dxfId="90" priority="65" operator="equal">
      <formula>3</formula>
    </cfRule>
    <cfRule type="cellIs" dxfId="89" priority="66" operator="equal">
      <formula>2</formula>
    </cfRule>
    <cfRule type="cellIs" dxfId="88" priority="67" operator="equal">
      <formula>1</formula>
    </cfRule>
    <cfRule type="cellIs" dxfId="87" priority="68" operator="equal">
      <formula>0</formula>
    </cfRule>
  </conditionalFormatting>
  <conditionalFormatting sqref="K229:L230 K241:L242">
    <cfRule type="cellIs" dxfId="86" priority="61" operator="equal">
      <formula>3</formula>
    </cfRule>
    <cfRule type="cellIs" dxfId="85" priority="62" operator="equal">
      <formula>2</formula>
    </cfRule>
    <cfRule type="cellIs" dxfId="84" priority="63" operator="equal">
      <formula>1</formula>
    </cfRule>
    <cfRule type="cellIs" dxfId="83" priority="64" operator="equal">
      <formula>0</formula>
    </cfRule>
  </conditionalFormatting>
  <conditionalFormatting sqref="K178:L228 K26:L147">
    <cfRule type="cellIs" dxfId="82" priority="57" operator="equal">
      <formula>3</formula>
    </cfRule>
    <cfRule type="cellIs" dxfId="81" priority="58" operator="equal">
      <formula>2</formula>
    </cfRule>
    <cfRule type="cellIs" dxfId="80" priority="59" operator="equal">
      <formula>1</formula>
    </cfRule>
    <cfRule type="cellIs" dxfId="79" priority="60" operator="equal">
      <formula>0</formula>
    </cfRule>
  </conditionalFormatting>
  <conditionalFormatting sqref="K8:K25 L9:L25">
    <cfRule type="cellIs" dxfId="78" priority="53" operator="equal">
      <formula>3</formula>
    </cfRule>
    <cfRule type="cellIs" dxfId="77" priority="54" operator="equal">
      <formula>2</formula>
    </cfRule>
    <cfRule type="cellIs" dxfId="76" priority="55" operator="equal">
      <formula>1</formula>
    </cfRule>
    <cfRule type="cellIs" dxfId="75" priority="56" operator="equal">
      <formula>0</formula>
    </cfRule>
  </conditionalFormatting>
  <conditionalFormatting sqref="L8">
    <cfRule type="cellIs" dxfId="74" priority="49" operator="equal">
      <formula>3</formula>
    </cfRule>
    <cfRule type="cellIs" dxfId="73" priority="50" operator="equal">
      <formula>2</formula>
    </cfRule>
    <cfRule type="cellIs" dxfId="72" priority="51" operator="equal">
      <formula>1</formula>
    </cfRule>
    <cfRule type="cellIs" dxfId="71" priority="52" operator="equal">
      <formula>0</formula>
    </cfRule>
  </conditionalFormatting>
  <conditionalFormatting sqref="K166:L177">
    <cfRule type="cellIs" dxfId="70" priority="45" operator="equal">
      <formula>3</formula>
    </cfRule>
    <cfRule type="cellIs" dxfId="69" priority="46" operator="equal">
      <formula>2</formula>
    </cfRule>
    <cfRule type="cellIs" dxfId="68" priority="47" operator="equal">
      <formula>1</formula>
    </cfRule>
    <cfRule type="cellIs" dxfId="67" priority="48" operator="equal">
      <formula>0</formula>
    </cfRule>
  </conditionalFormatting>
  <conditionalFormatting sqref="K148:L157 K162:L165">
    <cfRule type="cellIs" dxfId="66" priority="41" operator="equal">
      <formula>3</formula>
    </cfRule>
    <cfRule type="cellIs" dxfId="65" priority="42" operator="equal">
      <formula>2</formula>
    </cfRule>
    <cfRule type="cellIs" dxfId="64" priority="43" operator="equal">
      <formula>1</formula>
    </cfRule>
    <cfRule type="cellIs" dxfId="63" priority="44" operator="equal">
      <formula>0</formula>
    </cfRule>
  </conditionalFormatting>
  <conditionalFormatting sqref="K158:L161">
    <cfRule type="cellIs" dxfId="62" priority="37" operator="equal">
      <formula>3</formula>
    </cfRule>
    <cfRule type="cellIs" dxfId="61" priority="38" operator="equal">
      <formula>2</formula>
    </cfRule>
    <cfRule type="cellIs" dxfId="60" priority="39" operator="equal">
      <formula>1</formula>
    </cfRule>
    <cfRule type="cellIs" dxfId="59" priority="40" operator="equal">
      <formula>0</formula>
    </cfRule>
  </conditionalFormatting>
  <conditionalFormatting sqref="K231:L240">
    <cfRule type="cellIs" dxfId="58" priority="33" operator="equal">
      <formula>3</formula>
    </cfRule>
    <cfRule type="cellIs" dxfId="57" priority="34" operator="equal">
      <formula>2</formula>
    </cfRule>
    <cfRule type="cellIs" dxfId="56" priority="35" operator="equal">
      <formula>1</formula>
    </cfRule>
    <cfRule type="cellIs" dxfId="55" priority="36" operator="equal">
      <formula>0</formula>
    </cfRule>
  </conditionalFormatting>
  <conditionalFormatting sqref="M229:N230 M241:N242">
    <cfRule type="cellIs" dxfId="54" priority="29" operator="equal">
      <formula>3</formula>
    </cfRule>
    <cfRule type="cellIs" dxfId="53" priority="30" operator="equal">
      <formula>2</formula>
    </cfRule>
    <cfRule type="cellIs" dxfId="52" priority="31" operator="equal">
      <formula>1</formula>
    </cfRule>
    <cfRule type="cellIs" dxfId="51" priority="32" operator="equal">
      <formula>0</formula>
    </cfRule>
  </conditionalFormatting>
  <conditionalFormatting sqref="M178:N228 M26:N147">
    <cfRule type="cellIs" dxfId="50" priority="25" operator="equal">
      <formula>3</formula>
    </cfRule>
    <cfRule type="cellIs" dxfId="49" priority="26" operator="equal">
      <formula>2</formula>
    </cfRule>
    <cfRule type="cellIs" dxfId="48" priority="27" operator="equal">
      <formula>1</formula>
    </cfRule>
    <cfRule type="cellIs" dxfId="47" priority="28" operator="equal">
      <formula>0</formula>
    </cfRule>
  </conditionalFormatting>
  <conditionalFormatting sqref="M8:M25 N9:N25">
    <cfRule type="cellIs" dxfId="46" priority="21" operator="equal">
      <formula>3</formula>
    </cfRule>
    <cfRule type="cellIs" dxfId="45" priority="22" operator="equal">
      <formula>2</formula>
    </cfRule>
    <cfRule type="cellIs" dxfId="44" priority="23" operator="equal">
      <formula>1</formula>
    </cfRule>
    <cfRule type="cellIs" dxfId="43" priority="24" operator="equal">
      <formula>0</formula>
    </cfRule>
  </conditionalFormatting>
  <conditionalFormatting sqref="N8">
    <cfRule type="cellIs" dxfId="42" priority="17" operator="equal">
      <formula>3</formula>
    </cfRule>
    <cfRule type="cellIs" dxfId="41" priority="18" operator="equal">
      <formula>2</formula>
    </cfRule>
    <cfRule type="cellIs" dxfId="40" priority="19" operator="equal">
      <formula>1</formula>
    </cfRule>
    <cfRule type="cellIs" dxfId="39" priority="20" operator="equal">
      <formula>0</formula>
    </cfRule>
  </conditionalFormatting>
  <conditionalFormatting sqref="M166:N177">
    <cfRule type="cellIs" dxfId="38" priority="13" operator="equal">
      <formula>3</formula>
    </cfRule>
    <cfRule type="cellIs" dxfId="37" priority="14" operator="equal">
      <formula>2</formula>
    </cfRule>
    <cfRule type="cellIs" dxfId="36" priority="15" operator="equal">
      <formula>1</formula>
    </cfRule>
    <cfRule type="cellIs" dxfId="35" priority="16" operator="equal">
      <formula>0</formula>
    </cfRule>
  </conditionalFormatting>
  <conditionalFormatting sqref="M148:N157 M162:N165">
    <cfRule type="cellIs" dxfId="34" priority="9" operator="equal">
      <formula>3</formula>
    </cfRule>
    <cfRule type="cellIs" dxfId="33" priority="10" operator="equal">
      <formula>2</formula>
    </cfRule>
    <cfRule type="cellIs" dxfId="32" priority="11" operator="equal">
      <formula>1</formula>
    </cfRule>
    <cfRule type="cellIs" dxfId="31" priority="12" operator="equal">
      <formula>0</formula>
    </cfRule>
  </conditionalFormatting>
  <conditionalFormatting sqref="M158:N161">
    <cfRule type="cellIs" dxfId="30" priority="5" operator="equal">
      <formula>3</formula>
    </cfRule>
    <cfRule type="cellIs" dxfId="29" priority="6" operator="equal">
      <formula>2</formula>
    </cfRule>
    <cfRule type="cellIs" dxfId="28" priority="7" operator="equal">
      <formula>1</formula>
    </cfRule>
    <cfRule type="cellIs" dxfId="27" priority="8" operator="equal">
      <formula>0</formula>
    </cfRule>
  </conditionalFormatting>
  <conditionalFormatting sqref="M231:N240">
    <cfRule type="cellIs" dxfId="26" priority="1" operator="equal">
      <formula>3</formula>
    </cfRule>
    <cfRule type="cellIs" dxfId="25" priority="2" operator="equal">
      <formula>2</formula>
    </cfRule>
    <cfRule type="cellIs" dxfId="24" priority="3" operator="equal">
      <formula>1</formula>
    </cfRule>
    <cfRule type="cellIs" dxfId="23" priority="4" operator="equal">
      <formula>0</formula>
    </cfRule>
  </conditionalFormatting>
  <dataValidations count="8">
    <dataValidation errorStyle="information" allowBlank="1" showInputMessage="1" showErrorMessage="1" sqref="F5 H5 J5 L5 N5" xr:uid="{00000000-0002-0000-0400-000000000000}"/>
    <dataValidation type="list" allowBlank="1" showInputMessage="1" showErrorMessage="1" sqref="B231:B240" xr:uid="{00000000-0002-0000-0400-000001000000}">
      <formula1>SkillGroups</formula1>
    </dataValidation>
    <dataValidation type="list" allowBlank="1" showInputMessage="1" showErrorMessage="1" sqref="E231:E240 G231:G240 I231:I240 K231:K240 M231:M240" xr:uid="{00000000-0002-0000-0400-000002000000}">
      <formula1>"1, 2, 3"</formula1>
    </dataValidation>
    <dataValidation type="list" allowBlank="1" showInputMessage="1" showErrorMessage="1" sqref="D231:D240 D8:D228" xr:uid="{00000000-0002-0000-0400-000003000000}">
      <formula1>"Required,Good to Have,Not Required"</formula1>
    </dataValidation>
    <dataValidation type="list" allowBlank="1" showInputMessage="1" showErrorMessage="1" sqref="Q8 F8:F240 H8:H240 J8:J240 L8:L240 N8:N240" xr:uid="{00000000-0002-0000-0400-000004000000}">
      <formula1>"Required,Good to Have, Not Required"</formula1>
    </dataValidation>
    <dataValidation type="list" allowBlank="1" showInputMessage="1" showErrorMessage="1" sqref="E8:E228 G8:G228 I8:I228 K8:K228 M8:M228" xr:uid="{00000000-0002-0000-0400-000005000000}">
      <formula1>"1,2,3"</formula1>
    </dataValidation>
    <dataValidation type="list" errorStyle="information" allowBlank="1" showInputMessage="1" showErrorMessage="1" sqref="E2:N2" xr:uid="{00000000-0002-0000-0400-000006000000}">
      <formula1>Roles</formula1>
    </dataValidation>
    <dataValidation type="list" allowBlank="1" showInputMessage="1" showErrorMessage="1" sqref="E3:N3" xr:uid="{00000000-0002-0000-0400-000007000000}">
      <formula1>Selected_Desigs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utton22_Click">
                <anchor moveWithCells="1" sizeWithCells="1">
                  <from>
                    <xdr:col>0</xdr:col>
                    <xdr:colOff>28575</xdr:colOff>
                    <xdr:row>239</xdr:row>
                    <xdr:rowOff>9525</xdr:rowOff>
                  </from>
                  <to>
                    <xdr:col>4</xdr:col>
                    <xdr:colOff>0</xdr:colOff>
                    <xdr:row>240</xdr:row>
                    <xdr:rowOff>0</xdr:rowOff>
                  </to>
                </anchor>
              </controlPr>
            </control>
          </mc:Choice>
        </mc:AlternateContent>
        <mc:AlternateContent xmlns:mc="http://schemas.openxmlformats.org/markup-compatibility/2006">
          <mc:Choice Requires="x14">
            <control shapeId="16401" r:id="rId5" name="Button 17">
              <controlPr defaultSize="0" print="0" autoFill="0" autoPict="0" macro="[0]!Customize">
                <anchor moveWithCells="1" sizeWithCells="1">
                  <from>
                    <xdr:col>4</xdr:col>
                    <xdr:colOff>485775</xdr:colOff>
                    <xdr:row>4</xdr:row>
                    <xdr:rowOff>38100</xdr:rowOff>
                  </from>
                  <to>
                    <xdr:col>5</xdr:col>
                    <xdr:colOff>638175</xdr:colOff>
                    <xdr:row>4</xdr:row>
                    <xdr:rowOff>219075</xdr:rowOff>
                  </to>
                </anchor>
              </controlPr>
            </control>
          </mc:Choice>
        </mc:AlternateContent>
        <mc:AlternateContent xmlns:mc="http://schemas.openxmlformats.org/markup-compatibility/2006">
          <mc:Choice Requires="x14">
            <control shapeId="16448" r:id="rId6" name="Button 64">
              <controlPr defaultSize="0" print="0" autoFill="0" autoPict="0" macro="[0]!Add_New">
                <anchor moveWithCells="1" sizeWithCells="1">
                  <from>
                    <xdr:col>14</xdr:col>
                    <xdr:colOff>19050</xdr:colOff>
                    <xdr:row>1</xdr:row>
                    <xdr:rowOff>19050</xdr:rowOff>
                  </from>
                  <to>
                    <xdr:col>14</xdr:col>
                    <xdr:colOff>752475</xdr:colOff>
                    <xdr:row>4</xdr:row>
                    <xdr:rowOff>238125</xdr:rowOff>
                  </to>
                </anchor>
              </controlPr>
            </control>
          </mc:Choice>
        </mc:AlternateContent>
        <mc:AlternateContent xmlns:mc="http://schemas.openxmlformats.org/markup-compatibility/2006">
          <mc:Choice Requires="x14">
            <control shapeId="16519" r:id="rId7" name="Button 135">
              <controlPr defaultSize="0" print="0" autoFill="0" autoPict="0" macro="[0]!Customize">
                <anchor moveWithCells="1" sizeWithCells="1">
                  <from>
                    <xdr:col>6</xdr:col>
                    <xdr:colOff>66675</xdr:colOff>
                    <xdr:row>4</xdr:row>
                    <xdr:rowOff>38100</xdr:rowOff>
                  </from>
                  <to>
                    <xdr:col>6</xdr:col>
                    <xdr:colOff>971550</xdr:colOff>
                    <xdr:row>4</xdr:row>
                    <xdr:rowOff>209550</xdr:rowOff>
                  </to>
                </anchor>
              </controlPr>
            </control>
          </mc:Choice>
        </mc:AlternateContent>
        <mc:AlternateContent xmlns:mc="http://schemas.openxmlformats.org/markup-compatibility/2006">
          <mc:Choice Requires="x14">
            <control shapeId="16523" r:id="rId8" name="Button 139">
              <controlPr defaultSize="0" print="0" autoFill="0" autoPict="0" macro="[0]!Delete">
                <anchor moveWithCells="1" sizeWithCells="1">
                  <from>
                    <xdr:col>7</xdr:col>
                    <xdr:colOff>152400</xdr:colOff>
                    <xdr:row>4</xdr:row>
                    <xdr:rowOff>38100</xdr:rowOff>
                  </from>
                  <to>
                    <xdr:col>7</xdr:col>
                    <xdr:colOff>1000125</xdr:colOff>
                    <xdr:row>4</xdr:row>
                    <xdr:rowOff>219075</xdr:rowOff>
                  </to>
                </anchor>
              </controlPr>
            </control>
          </mc:Choice>
        </mc:AlternateContent>
        <mc:AlternateContent xmlns:mc="http://schemas.openxmlformats.org/markup-compatibility/2006">
          <mc:Choice Requires="x14">
            <control shapeId="16525" r:id="rId9" name="Button 141">
              <controlPr defaultSize="0" print="0" autoFill="0" autoPict="0" macro="[0]!Delete">
                <anchor moveWithCells="1" sizeWithCells="1">
                  <from>
                    <xdr:col>9</xdr:col>
                    <xdr:colOff>190500</xdr:colOff>
                    <xdr:row>4</xdr:row>
                    <xdr:rowOff>28575</xdr:rowOff>
                  </from>
                  <to>
                    <xdr:col>9</xdr:col>
                    <xdr:colOff>1038225</xdr:colOff>
                    <xdr:row>4</xdr:row>
                    <xdr:rowOff>209550</xdr:rowOff>
                  </to>
                </anchor>
              </controlPr>
            </control>
          </mc:Choice>
        </mc:AlternateContent>
        <mc:AlternateContent xmlns:mc="http://schemas.openxmlformats.org/markup-compatibility/2006">
          <mc:Choice Requires="x14">
            <control shapeId="16526" r:id="rId10" name="Button 142">
              <controlPr defaultSize="0" print="0" autoFill="0" autoPict="0" macro="[0]!Customize">
                <anchor moveWithCells="1" sizeWithCells="1">
                  <from>
                    <xdr:col>8</xdr:col>
                    <xdr:colOff>76200</xdr:colOff>
                    <xdr:row>4</xdr:row>
                    <xdr:rowOff>38100</xdr:rowOff>
                  </from>
                  <to>
                    <xdr:col>8</xdr:col>
                    <xdr:colOff>981075</xdr:colOff>
                    <xdr:row>4</xdr:row>
                    <xdr:rowOff>209550</xdr:rowOff>
                  </to>
                </anchor>
              </controlPr>
            </control>
          </mc:Choice>
        </mc:AlternateContent>
        <mc:AlternateContent xmlns:mc="http://schemas.openxmlformats.org/markup-compatibility/2006">
          <mc:Choice Requires="x14">
            <control shapeId="16528" r:id="rId11" name="Button 144">
              <controlPr defaultSize="0" print="0" autoFill="0" autoPict="0" macro="[0]!Delete">
                <anchor moveWithCells="1" sizeWithCells="1">
                  <from>
                    <xdr:col>11</xdr:col>
                    <xdr:colOff>190500</xdr:colOff>
                    <xdr:row>4</xdr:row>
                    <xdr:rowOff>28575</xdr:rowOff>
                  </from>
                  <to>
                    <xdr:col>11</xdr:col>
                    <xdr:colOff>1038225</xdr:colOff>
                    <xdr:row>4</xdr:row>
                    <xdr:rowOff>209550</xdr:rowOff>
                  </to>
                </anchor>
              </controlPr>
            </control>
          </mc:Choice>
        </mc:AlternateContent>
        <mc:AlternateContent xmlns:mc="http://schemas.openxmlformats.org/markup-compatibility/2006">
          <mc:Choice Requires="x14">
            <control shapeId="16529" r:id="rId12" name="Button 145">
              <controlPr defaultSize="0" print="0" autoFill="0" autoPict="0" macro="[0]!Customize">
                <anchor moveWithCells="1" sizeWithCells="1">
                  <from>
                    <xdr:col>10</xdr:col>
                    <xdr:colOff>76200</xdr:colOff>
                    <xdr:row>4</xdr:row>
                    <xdr:rowOff>38100</xdr:rowOff>
                  </from>
                  <to>
                    <xdr:col>10</xdr:col>
                    <xdr:colOff>981075</xdr:colOff>
                    <xdr:row>4</xdr:row>
                    <xdr:rowOff>209550</xdr:rowOff>
                  </to>
                </anchor>
              </controlPr>
            </control>
          </mc:Choice>
        </mc:AlternateContent>
        <mc:AlternateContent xmlns:mc="http://schemas.openxmlformats.org/markup-compatibility/2006">
          <mc:Choice Requires="x14">
            <control shapeId="16531" r:id="rId13" name="Button 147">
              <controlPr defaultSize="0" print="0" autoFill="0" autoPict="0" macro="[0]!Delete">
                <anchor moveWithCells="1" sizeWithCells="1">
                  <from>
                    <xdr:col>13</xdr:col>
                    <xdr:colOff>190500</xdr:colOff>
                    <xdr:row>4</xdr:row>
                    <xdr:rowOff>28575</xdr:rowOff>
                  </from>
                  <to>
                    <xdr:col>13</xdr:col>
                    <xdr:colOff>1038225</xdr:colOff>
                    <xdr:row>4</xdr:row>
                    <xdr:rowOff>209550</xdr:rowOff>
                  </to>
                </anchor>
              </controlPr>
            </control>
          </mc:Choice>
        </mc:AlternateContent>
        <mc:AlternateContent xmlns:mc="http://schemas.openxmlformats.org/markup-compatibility/2006">
          <mc:Choice Requires="x14">
            <control shapeId="16532" r:id="rId14" name="Button 148">
              <controlPr defaultSize="0" print="0" autoFill="0" autoPict="0" macro="[0]!Customize">
                <anchor moveWithCells="1" sizeWithCells="1">
                  <from>
                    <xdr:col>12</xdr:col>
                    <xdr:colOff>76200</xdr:colOff>
                    <xdr:row>4</xdr:row>
                    <xdr:rowOff>38100</xdr:rowOff>
                  </from>
                  <to>
                    <xdr:col>12</xdr:col>
                    <xdr:colOff>981075</xdr:colOff>
                    <xdr:row>4</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2:W105"/>
  <sheetViews>
    <sheetView zoomScale="90" zoomScaleNormal="90" workbookViewId="0"/>
  </sheetViews>
  <sheetFormatPr defaultRowHeight="15" customHeight="1" x14ac:dyDescent="0.2"/>
  <cols>
    <col min="1" max="1" width="19.6640625" style="6" bestFit="1" customWidth="1"/>
    <col min="2" max="2" width="8.88671875" style="6"/>
    <col min="3" max="3" width="23.44140625" style="6" bestFit="1" customWidth="1"/>
    <col min="4" max="4" width="8.88671875" style="6"/>
    <col min="5" max="5" width="22" style="6" bestFit="1" customWidth="1"/>
    <col min="6" max="6" width="19.77734375" style="6" bestFit="1" customWidth="1"/>
    <col min="7" max="7" width="16.33203125" style="6" bestFit="1" customWidth="1"/>
    <col min="8" max="12" width="8.88671875" style="6"/>
    <col min="13" max="13" width="13" style="6" customWidth="1"/>
    <col min="14" max="14" width="22.33203125" style="6" customWidth="1"/>
    <col min="15" max="15" width="22.88671875" style="6" customWidth="1"/>
    <col min="16" max="16" width="11.109375" style="6" customWidth="1"/>
    <col min="17" max="17" width="14.88671875" style="6" customWidth="1"/>
    <col min="18" max="18" width="11.44140625" style="6" customWidth="1"/>
    <col min="19" max="19" width="19.88671875" style="6" customWidth="1"/>
    <col min="20" max="20" width="16.77734375" style="6" bestFit="1" customWidth="1"/>
    <col min="21" max="16384" width="8.88671875" style="6"/>
  </cols>
  <sheetData>
    <row r="2" spans="1:23" ht="15" customHeight="1" x14ac:dyDescent="0.2">
      <c r="A2" s="10" t="s">
        <v>101</v>
      </c>
      <c r="B2" s="11" t="s">
        <v>101</v>
      </c>
      <c r="C2" s="12" t="s">
        <v>410</v>
      </c>
      <c r="D2" s="6" t="s">
        <v>176</v>
      </c>
      <c r="E2" s="6" t="s">
        <v>102</v>
      </c>
      <c r="F2" s="6" t="s">
        <v>149</v>
      </c>
      <c r="G2" s="6" t="s">
        <v>139</v>
      </c>
      <c r="I2" s="6" t="s">
        <v>277</v>
      </c>
      <c r="J2" s="6" t="s">
        <v>410</v>
      </c>
      <c r="L2" s="205" t="s">
        <v>176</v>
      </c>
      <c r="M2" s="206" t="s">
        <v>173</v>
      </c>
      <c r="N2" s="207" t="s">
        <v>174</v>
      </c>
      <c r="O2" s="207" t="s">
        <v>104</v>
      </c>
      <c r="P2" s="207" t="s">
        <v>175</v>
      </c>
      <c r="Q2" s="207" t="s">
        <v>105</v>
      </c>
      <c r="R2" s="207" t="s">
        <v>106</v>
      </c>
      <c r="S2" s="207" t="s">
        <v>205</v>
      </c>
      <c r="T2" s="207" t="s">
        <v>231</v>
      </c>
      <c r="U2" s="208" t="s">
        <v>339</v>
      </c>
    </row>
    <row r="3" spans="1:23" s="174" customFormat="1" ht="15" customHeight="1" x14ac:dyDescent="0.25">
      <c r="A3" s="171" t="s">
        <v>2</v>
      </c>
      <c r="B3" s="172" t="s">
        <v>2</v>
      </c>
      <c r="C3" s="173" t="s">
        <v>402</v>
      </c>
      <c r="D3" s="174" t="s">
        <v>102</v>
      </c>
      <c r="E3" s="173" t="s">
        <v>130</v>
      </c>
      <c r="F3" s="171" t="s">
        <v>897</v>
      </c>
      <c r="G3" s="7" t="s">
        <v>144</v>
      </c>
      <c r="I3" s="174" t="s">
        <v>10</v>
      </c>
      <c r="J3" s="174" t="s">
        <v>402</v>
      </c>
      <c r="L3" s="185" t="s">
        <v>102</v>
      </c>
      <c r="M3" s="177" t="s">
        <v>130</v>
      </c>
      <c r="N3" s="177" t="s">
        <v>137</v>
      </c>
      <c r="O3" s="177" t="s">
        <v>138</v>
      </c>
      <c r="P3" s="177" t="s">
        <v>107</v>
      </c>
      <c r="Q3" s="177" t="s">
        <v>397</v>
      </c>
      <c r="R3" s="209" t="s">
        <v>816</v>
      </c>
      <c r="S3" s="175" t="s">
        <v>206</v>
      </c>
      <c r="T3" s="175" t="s">
        <v>232</v>
      </c>
      <c r="U3" s="176" t="s">
        <v>396</v>
      </c>
    </row>
    <row r="4" spans="1:23" s="174" customFormat="1" ht="15" customHeight="1" x14ac:dyDescent="0.25">
      <c r="A4" s="171" t="s">
        <v>3</v>
      </c>
      <c r="B4" s="172" t="s">
        <v>2</v>
      </c>
      <c r="C4" s="173" t="s">
        <v>403</v>
      </c>
      <c r="D4" s="174" t="s">
        <v>149</v>
      </c>
      <c r="E4" s="173" t="s">
        <v>126</v>
      </c>
      <c r="F4" s="198" t="s">
        <v>913</v>
      </c>
      <c r="G4" s="7" t="s">
        <v>140</v>
      </c>
      <c r="I4" s="174" t="s">
        <v>14</v>
      </c>
      <c r="J4" s="174" t="s">
        <v>403</v>
      </c>
      <c r="L4" s="185" t="s">
        <v>102</v>
      </c>
      <c r="M4" s="177" t="s">
        <v>130</v>
      </c>
      <c r="N4" s="177" t="s">
        <v>182</v>
      </c>
      <c r="O4" s="177" t="s">
        <v>133</v>
      </c>
      <c r="P4" s="177" t="s">
        <v>124</v>
      </c>
      <c r="Q4" s="177" t="s">
        <v>398</v>
      </c>
      <c r="R4" s="209" t="s">
        <v>816</v>
      </c>
      <c r="S4" s="175" t="s">
        <v>206</v>
      </c>
      <c r="T4" s="177" t="s">
        <v>234</v>
      </c>
      <c r="U4" s="178" t="s">
        <v>395</v>
      </c>
    </row>
    <row r="5" spans="1:23" ht="15" customHeight="1" x14ac:dyDescent="0.2">
      <c r="A5" s="171" t="s">
        <v>4</v>
      </c>
      <c r="B5" s="172" t="s">
        <v>2</v>
      </c>
      <c r="C5" s="173" t="s">
        <v>404</v>
      </c>
      <c r="D5" s="174" t="s">
        <v>139</v>
      </c>
      <c r="E5" s="173" t="s">
        <v>103</v>
      </c>
      <c r="F5" s="171" t="s">
        <v>151</v>
      </c>
      <c r="G5" s="177" t="s">
        <v>257</v>
      </c>
      <c r="H5" s="174"/>
      <c r="I5" s="174" t="s">
        <v>16</v>
      </c>
      <c r="J5" s="174" t="s">
        <v>404</v>
      </c>
      <c r="K5" s="174"/>
      <c r="L5" s="185" t="s">
        <v>102</v>
      </c>
      <c r="M5" s="177" t="s">
        <v>130</v>
      </c>
      <c r="N5" s="177" t="s">
        <v>181</v>
      </c>
      <c r="O5" s="177" t="s">
        <v>131</v>
      </c>
      <c r="P5" s="177" t="s">
        <v>124</v>
      </c>
      <c r="Q5" s="177" t="s">
        <v>398</v>
      </c>
      <c r="R5" s="209" t="s">
        <v>816</v>
      </c>
      <c r="S5" s="175" t="s">
        <v>206</v>
      </c>
      <c r="T5" s="177" t="s">
        <v>234</v>
      </c>
      <c r="U5" s="178" t="s">
        <v>394</v>
      </c>
    </row>
    <row r="6" spans="1:23" ht="15" customHeight="1" x14ac:dyDescent="0.2">
      <c r="A6" s="171" t="s">
        <v>790</v>
      </c>
      <c r="B6" s="172" t="s">
        <v>2</v>
      </c>
      <c r="C6" s="173" t="s">
        <v>405</v>
      </c>
      <c r="D6" s="174"/>
      <c r="E6" s="173" t="s">
        <v>127</v>
      </c>
      <c r="F6" s="171" t="s">
        <v>156</v>
      </c>
      <c r="G6" s="7" t="s">
        <v>143</v>
      </c>
      <c r="H6" s="174"/>
      <c r="I6" s="174" t="s">
        <v>30</v>
      </c>
      <c r="J6" s="174" t="s">
        <v>405</v>
      </c>
      <c r="K6" s="174"/>
      <c r="L6" s="185" t="s">
        <v>102</v>
      </c>
      <c r="M6" s="177" t="s">
        <v>130</v>
      </c>
      <c r="N6" s="177" t="s">
        <v>185</v>
      </c>
      <c r="O6" s="177" t="s">
        <v>132</v>
      </c>
      <c r="P6" s="177" t="s">
        <v>107</v>
      </c>
      <c r="Q6" s="177" t="s">
        <v>397</v>
      </c>
      <c r="R6" s="209" t="s">
        <v>816</v>
      </c>
      <c r="S6" s="175" t="s">
        <v>206</v>
      </c>
      <c r="T6" s="177" t="s">
        <v>234</v>
      </c>
      <c r="U6" s="178" t="s">
        <v>393</v>
      </c>
    </row>
    <row r="7" spans="1:23" ht="15" customHeight="1" x14ac:dyDescent="0.2">
      <c r="A7" s="171" t="s">
        <v>5</v>
      </c>
      <c r="B7" s="172" t="s">
        <v>2</v>
      </c>
      <c r="C7" s="173" t="s">
        <v>406</v>
      </c>
      <c r="D7" s="174"/>
      <c r="E7" s="173" t="s">
        <v>125</v>
      </c>
      <c r="F7" s="171" t="s">
        <v>888</v>
      </c>
      <c r="G7" s="7" t="s">
        <v>142</v>
      </c>
      <c r="H7" s="174"/>
      <c r="I7" s="174" t="s">
        <v>40</v>
      </c>
      <c r="J7" s="174" t="s">
        <v>406</v>
      </c>
      <c r="K7" s="174"/>
      <c r="L7" s="185" t="s">
        <v>102</v>
      </c>
      <c r="M7" s="177" t="s">
        <v>130</v>
      </c>
      <c r="N7" s="177" t="s">
        <v>183</v>
      </c>
      <c r="O7" s="177" t="s">
        <v>134</v>
      </c>
      <c r="P7" s="177" t="s">
        <v>124</v>
      </c>
      <c r="Q7" s="177" t="s">
        <v>398</v>
      </c>
      <c r="R7" s="209" t="s">
        <v>816</v>
      </c>
      <c r="S7" s="175" t="s">
        <v>206</v>
      </c>
      <c r="T7" s="177" t="s">
        <v>234</v>
      </c>
      <c r="U7" s="178" t="s">
        <v>392</v>
      </c>
      <c r="W7" s="32"/>
    </row>
    <row r="8" spans="1:23" ht="15" customHeight="1" x14ac:dyDescent="0.2">
      <c r="A8" s="171" t="s">
        <v>6</v>
      </c>
      <c r="B8" s="172" t="s">
        <v>3</v>
      </c>
      <c r="C8" s="173" t="s">
        <v>402</v>
      </c>
      <c r="D8" s="174"/>
      <c r="E8" s="174"/>
      <c r="F8" s="171" t="s">
        <v>166</v>
      </c>
      <c r="G8" s="7" t="s">
        <v>125</v>
      </c>
      <c r="H8" s="174"/>
      <c r="I8" s="174" t="s">
        <v>297</v>
      </c>
      <c r="J8" s="174" t="s">
        <v>407</v>
      </c>
      <c r="K8" s="174"/>
      <c r="L8" s="185" t="s">
        <v>102</v>
      </c>
      <c r="M8" s="177" t="s">
        <v>130</v>
      </c>
      <c r="N8" s="177" t="s">
        <v>186</v>
      </c>
      <c r="O8" s="177" t="s">
        <v>135</v>
      </c>
      <c r="P8" s="177" t="s">
        <v>107</v>
      </c>
      <c r="Q8" s="177" t="s">
        <v>397</v>
      </c>
      <c r="R8" s="209" t="s">
        <v>816</v>
      </c>
      <c r="S8" s="175" t="s">
        <v>206</v>
      </c>
      <c r="T8" s="177" t="s">
        <v>234</v>
      </c>
      <c r="U8" s="178" t="s">
        <v>391</v>
      </c>
    </row>
    <row r="9" spans="1:23" ht="15" customHeight="1" x14ac:dyDescent="0.2">
      <c r="A9" s="171" t="s">
        <v>311</v>
      </c>
      <c r="B9" s="172" t="s">
        <v>3</v>
      </c>
      <c r="C9" s="173" t="s">
        <v>403</v>
      </c>
      <c r="D9" s="174"/>
      <c r="E9" s="174"/>
      <c r="F9" s="171" t="s">
        <v>819</v>
      </c>
      <c r="G9" s="7" t="s">
        <v>148</v>
      </c>
      <c r="H9" s="174"/>
      <c r="I9" s="174" t="s">
        <v>50</v>
      </c>
      <c r="J9" s="174" t="s">
        <v>408</v>
      </c>
      <c r="K9" s="174"/>
      <c r="L9" s="185" t="s">
        <v>102</v>
      </c>
      <c r="M9" s="177" t="s">
        <v>130</v>
      </c>
      <c r="N9" s="177" t="s">
        <v>136</v>
      </c>
      <c r="O9" s="177" t="s">
        <v>903</v>
      </c>
      <c r="P9" s="177" t="s">
        <v>107</v>
      </c>
      <c r="Q9" s="177" t="s">
        <v>397</v>
      </c>
      <c r="R9" s="209" t="s">
        <v>816</v>
      </c>
      <c r="S9" s="175" t="s">
        <v>206</v>
      </c>
      <c r="T9" s="177" t="s">
        <v>233</v>
      </c>
      <c r="U9" s="176" t="s">
        <v>390</v>
      </c>
    </row>
    <row r="10" spans="1:23" ht="15" customHeight="1" x14ac:dyDescent="0.2">
      <c r="A10" s="171" t="s">
        <v>312</v>
      </c>
      <c r="B10" s="172" t="s">
        <v>3</v>
      </c>
      <c r="C10" s="173" t="s">
        <v>404</v>
      </c>
      <c r="D10" s="174"/>
      <c r="E10" s="189"/>
      <c r="F10" s="171" t="s">
        <v>855</v>
      </c>
      <c r="G10" s="7"/>
      <c r="H10" s="174"/>
      <c r="I10" s="174" t="s">
        <v>56</v>
      </c>
      <c r="J10" s="174" t="s">
        <v>409</v>
      </c>
      <c r="K10" s="174"/>
      <c r="L10" s="185" t="s">
        <v>102</v>
      </c>
      <c r="M10" s="177" t="s">
        <v>126</v>
      </c>
      <c r="N10" s="177" t="s">
        <v>187</v>
      </c>
      <c r="O10" s="177" t="s">
        <v>800</v>
      </c>
      <c r="P10" s="177" t="s">
        <v>124</v>
      </c>
      <c r="Q10" s="177" t="s">
        <v>398</v>
      </c>
      <c r="R10" s="209" t="s">
        <v>816</v>
      </c>
      <c r="S10" s="175" t="s">
        <v>206</v>
      </c>
      <c r="T10" s="177" t="s">
        <v>233</v>
      </c>
      <c r="U10" s="178" t="s">
        <v>389</v>
      </c>
      <c r="W10" s="32"/>
    </row>
    <row r="11" spans="1:23" ht="15" customHeight="1" x14ac:dyDescent="0.2">
      <c r="A11" s="171"/>
      <c r="B11" s="172" t="s">
        <v>3</v>
      </c>
      <c r="C11" s="173" t="s">
        <v>405</v>
      </c>
      <c r="D11" s="174"/>
      <c r="E11" s="189"/>
      <c r="F11" s="171" t="s">
        <v>797</v>
      </c>
      <c r="G11" s="7"/>
      <c r="H11" s="174"/>
      <c r="I11" s="174" t="s">
        <v>66</v>
      </c>
      <c r="J11" s="174"/>
      <c r="K11" s="174"/>
      <c r="L11" s="185" t="s">
        <v>102</v>
      </c>
      <c r="M11" s="177" t="s">
        <v>126</v>
      </c>
      <c r="N11" s="177" t="s">
        <v>188</v>
      </c>
      <c r="O11" s="177" t="s">
        <v>904</v>
      </c>
      <c r="P11" s="177" t="s">
        <v>107</v>
      </c>
      <c r="Q11" s="177" t="s">
        <v>397</v>
      </c>
      <c r="R11" s="209" t="s">
        <v>816</v>
      </c>
      <c r="S11" s="175" t="s">
        <v>206</v>
      </c>
      <c r="T11" s="177" t="s">
        <v>233</v>
      </c>
      <c r="U11" s="178" t="s">
        <v>388</v>
      </c>
    </row>
    <row r="12" spans="1:23" ht="15" customHeight="1" x14ac:dyDescent="0.2">
      <c r="A12" s="174"/>
      <c r="B12" s="172" t="s">
        <v>3</v>
      </c>
      <c r="C12" s="173" t="s">
        <v>406</v>
      </c>
      <c r="D12" s="174"/>
      <c r="E12" s="189"/>
      <c r="F12" s="171" t="s">
        <v>858</v>
      </c>
      <c r="G12" s="7"/>
      <c r="H12" s="174"/>
      <c r="I12" s="174" t="s">
        <v>76</v>
      </c>
      <c r="J12" s="174"/>
      <c r="K12" s="174"/>
      <c r="L12" s="185" t="s">
        <v>102</v>
      </c>
      <c r="M12" s="177" t="s">
        <v>103</v>
      </c>
      <c r="N12" s="177" t="s">
        <v>111</v>
      </c>
      <c r="O12" s="177" t="s">
        <v>340</v>
      </c>
      <c r="P12" s="177" t="s">
        <v>107</v>
      </c>
      <c r="Q12" s="177" t="s">
        <v>397</v>
      </c>
      <c r="R12" s="178" t="s">
        <v>211</v>
      </c>
      <c r="S12" s="178" t="s">
        <v>207</v>
      </c>
      <c r="T12" s="177" t="s">
        <v>234</v>
      </c>
      <c r="U12" s="178" t="s">
        <v>343</v>
      </c>
    </row>
    <row r="13" spans="1:23" ht="15" customHeight="1" x14ac:dyDescent="0.2">
      <c r="A13" s="174"/>
      <c r="B13" s="172" t="s">
        <v>4</v>
      </c>
      <c r="C13" s="173" t="s">
        <v>406</v>
      </c>
      <c r="D13" s="174"/>
      <c r="E13" s="174"/>
      <c r="F13" s="171" t="s">
        <v>865</v>
      </c>
      <c r="G13" s="189"/>
      <c r="H13" s="174"/>
      <c r="I13" s="174" t="s">
        <v>84</v>
      </c>
      <c r="J13" s="174"/>
      <c r="K13" s="174"/>
      <c r="L13" s="185" t="s">
        <v>102</v>
      </c>
      <c r="M13" s="177" t="s">
        <v>103</v>
      </c>
      <c r="N13" s="177" t="s">
        <v>122</v>
      </c>
      <c r="O13" s="177" t="s">
        <v>123</v>
      </c>
      <c r="P13" s="177" t="s">
        <v>124</v>
      </c>
      <c r="Q13" s="177" t="s">
        <v>399</v>
      </c>
      <c r="R13" s="177" t="s">
        <v>204</v>
      </c>
      <c r="S13" s="178" t="s">
        <v>207</v>
      </c>
      <c r="T13" s="177" t="s">
        <v>234</v>
      </c>
      <c r="U13" s="177" t="s">
        <v>172</v>
      </c>
    </row>
    <row r="14" spans="1:23" ht="15" customHeight="1" x14ac:dyDescent="0.2">
      <c r="A14" s="174"/>
      <c r="B14" s="172" t="s">
        <v>4</v>
      </c>
      <c r="C14" s="173" t="s">
        <v>407</v>
      </c>
      <c r="D14" s="174"/>
      <c r="E14" s="174"/>
      <c r="F14" s="171" t="s">
        <v>150</v>
      </c>
      <c r="G14" s="189"/>
      <c r="H14" s="174"/>
      <c r="I14" s="174" t="s">
        <v>85</v>
      </c>
      <c r="J14" s="174"/>
      <c r="K14" s="174"/>
      <c r="L14" s="185" t="s">
        <v>102</v>
      </c>
      <c r="M14" s="177" t="s">
        <v>103</v>
      </c>
      <c r="N14" s="177" t="s">
        <v>189</v>
      </c>
      <c r="O14" s="177" t="s">
        <v>211</v>
      </c>
      <c r="P14" s="177" t="s">
        <v>107</v>
      </c>
      <c r="Q14" s="177" t="s">
        <v>397</v>
      </c>
      <c r="R14" s="179" t="s">
        <v>211</v>
      </c>
      <c r="S14" s="178" t="s">
        <v>207</v>
      </c>
      <c r="T14" s="177" t="s">
        <v>234</v>
      </c>
      <c r="U14" s="178" t="s">
        <v>344</v>
      </c>
    </row>
    <row r="15" spans="1:23" ht="15" customHeight="1" x14ac:dyDescent="0.2">
      <c r="A15" s="174"/>
      <c r="B15" s="172" t="s">
        <v>4</v>
      </c>
      <c r="C15" s="173" t="s">
        <v>408</v>
      </c>
      <c r="D15" s="174"/>
      <c r="E15" s="174"/>
      <c r="G15" s="189"/>
      <c r="H15" s="174"/>
      <c r="I15" s="174" t="s">
        <v>89</v>
      </c>
      <c r="J15" s="174"/>
      <c r="K15" s="174"/>
      <c r="L15" s="185" t="s">
        <v>102</v>
      </c>
      <c r="M15" s="177" t="s">
        <v>103</v>
      </c>
      <c r="N15" s="177" t="s">
        <v>112</v>
      </c>
      <c r="O15" s="177" t="s">
        <v>211</v>
      </c>
      <c r="P15" s="177" t="s">
        <v>107</v>
      </c>
      <c r="Q15" s="177" t="s">
        <v>397</v>
      </c>
      <c r="R15" s="177" t="s">
        <v>211</v>
      </c>
      <c r="S15" s="178" t="s">
        <v>207</v>
      </c>
      <c r="T15" s="177" t="s">
        <v>234</v>
      </c>
      <c r="U15" s="178" t="s">
        <v>345</v>
      </c>
    </row>
    <row r="16" spans="1:23" ht="15" customHeight="1" x14ac:dyDescent="0.2">
      <c r="A16" s="174"/>
      <c r="B16" s="172" t="s">
        <v>4</v>
      </c>
      <c r="C16" s="173" t="s">
        <v>409</v>
      </c>
      <c r="D16" s="174"/>
      <c r="E16" s="174"/>
      <c r="G16" s="189"/>
      <c r="H16" s="174"/>
      <c r="I16" s="174" t="s">
        <v>93</v>
      </c>
      <c r="J16" s="174"/>
      <c r="K16" s="174"/>
      <c r="L16" s="185" t="s">
        <v>102</v>
      </c>
      <c r="M16" s="177" t="s">
        <v>103</v>
      </c>
      <c r="N16" s="177" t="s">
        <v>108</v>
      </c>
      <c r="O16" s="177" t="s">
        <v>211</v>
      </c>
      <c r="P16" s="177" t="s">
        <v>107</v>
      </c>
      <c r="Q16" s="177" t="s">
        <v>397</v>
      </c>
      <c r="R16" s="177" t="s">
        <v>211</v>
      </c>
      <c r="S16" s="178" t="s">
        <v>207</v>
      </c>
      <c r="T16" s="177" t="s">
        <v>234</v>
      </c>
      <c r="U16" s="178" t="s">
        <v>346</v>
      </c>
    </row>
    <row r="17" spans="1:23" ht="15" customHeight="1" x14ac:dyDescent="0.2">
      <c r="A17" s="174"/>
      <c r="B17" s="172" t="s">
        <v>790</v>
      </c>
      <c r="C17" s="173" t="s">
        <v>406</v>
      </c>
      <c r="D17" s="174"/>
      <c r="E17" s="174"/>
      <c r="F17" s="177"/>
      <c r="G17" s="174"/>
      <c r="H17" s="174"/>
      <c r="I17" s="174" t="s">
        <v>94</v>
      </c>
      <c r="J17" s="174"/>
      <c r="K17" s="174"/>
      <c r="L17" s="185" t="s">
        <v>102</v>
      </c>
      <c r="M17" s="177" t="s">
        <v>103</v>
      </c>
      <c r="N17" s="177" t="s">
        <v>109</v>
      </c>
      <c r="O17" s="177" t="s">
        <v>211</v>
      </c>
      <c r="P17" s="177" t="s">
        <v>107</v>
      </c>
      <c r="Q17" s="177" t="s">
        <v>397</v>
      </c>
      <c r="R17" s="177" t="s">
        <v>211</v>
      </c>
      <c r="S17" s="178" t="s">
        <v>207</v>
      </c>
      <c r="T17" s="177" t="s">
        <v>234</v>
      </c>
      <c r="U17" s="178" t="s">
        <v>347</v>
      </c>
    </row>
    <row r="18" spans="1:23" ht="15" customHeight="1" x14ac:dyDescent="0.2">
      <c r="A18" s="174"/>
      <c r="B18" s="172" t="s">
        <v>790</v>
      </c>
      <c r="C18" s="173" t="s">
        <v>407</v>
      </c>
      <c r="D18" s="174"/>
      <c r="E18" s="174"/>
      <c r="G18" s="189"/>
      <c r="H18" s="174"/>
      <c r="I18" s="174" t="s">
        <v>100</v>
      </c>
      <c r="J18" s="174"/>
      <c r="K18" s="174"/>
      <c r="L18" s="185" t="s">
        <v>102</v>
      </c>
      <c r="M18" s="177" t="s">
        <v>103</v>
      </c>
      <c r="N18" s="177" t="s">
        <v>110</v>
      </c>
      <c r="O18" s="177" t="s">
        <v>211</v>
      </c>
      <c r="P18" s="177" t="s">
        <v>107</v>
      </c>
      <c r="Q18" s="177" t="s">
        <v>397</v>
      </c>
      <c r="R18" s="177" t="s">
        <v>211</v>
      </c>
      <c r="S18" s="178" t="s">
        <v>207</v>
      </c>
      <c r="T18" s="177" t="s">
        <v>234</v>
      </c>
      <c r="U18" s="178" t="s">
        <v>348</v>
      </c>
    </row>
    <row r="19" spans="1:23" ht="15" customHeight="1" x14ac:dyDescent="0.2">
      <c r="A19" s="174"/>
      <c r="B19" s="172" t="s">
        <v>5</v>
      </c>
      <c r="C19" s="173" t="s">
        <v>408</v>
      </c>
      <c r="D19" s="174"/>
      <c r="E19" s="174"/>
      <c r="G19" s="189"/>
      <c r="H19" s="174"/>
      <c r="I19" s="174" t="s">
        <v>302</v>
      </c>
      <c r="J19" s="174"/>
      <c r="K19" s="174"/>
      <c r="L19" s="185" t="s">
        <v>102</v>
      </c>
      <c r="M19" s="177" t="s">
        <v>103</v>
      </c>
      <c r="N19" s="177" t="s">
        <v>190</v>
      </c>
      <c r="O19" s="177" t="s">
        <v>341</v>
      </c>
      <c r="P19" s="177" t="s">
        <v>107</v>
      </c>
      <c r="Q19" s="177" t="s">
        <v>397</v>
      </c>
      <c r="R19" s="184" t="s">
        <v>209</v>
      </c>
      <c r="S19" s="178" t="s">
        <v>207</v>
      </c>
      <c r="T19" s="177" t="s">
        <v>234</v>
      </c>
      <c r="U19" s="178" t="s">
        <v>342</v>
      </c>
    </row>
    <row r="20" spans="1:23" ht="15" customHeight="1" x14ac:dyDescent="0.2">
      <c r="A20" s="174"/>
      <c r="B20" s="172" t="s">
        <v>6</v>
      </c>
      <c r="C20" s="173" t="s">
        <v>409</v>
      </c>
      <c r="D20" s="174"/>
      <c r="E20" s="174"/>
      <c r="G20" s="174"/>
      <c r="H20" s="174"/>
      <c r="I20" s="174" t="s">
        <v>303</v>
      </c>
      <c r="J20" s="174"/>
      <c r="K20" s="174"/>
      <c r="L20" s="185" t="s">
        <v>102</v>
      </c>
      <c r="M20" s="177" t="s">
        <v>103</v>
      </c>
      <c r="N20" s="177" t="s">
        <v>114</v>
      </c>
      <c r="O20" s="177" t="s">
        <v>115</v>
      </c>
      <c r="P20" s="177" t="s">
        <v>107</v>
      </c>
      <c r="Q20" s="177" t="s">
        <v>397</v>
      </c>
      <c r="R20" s="184" t="s">
        <v>208</v>
      </c>
      <c r="S20" s="178" t="s">
        <v>207</v>
      </c>
      <c r="T20" s="177" t="s">
        <v>234</v>
      </c>
      <c r="U20" s="178" t="s">
        <v>349</v>
      </c>
    </row>
    <row r="21" spans="1:23" ht="15" customHeight="1" x14ac:dyDescent="0.2">
      <c r="A21" s="174"/>
      <c r="B21" s="172" t="s">
        <v>311</v>
      </c>
      <c r="C21" s="173" t="s">
        <v>407</v>
      </c>
      <c r="D21" s="174"/>
      <c r="E21" s="174"/>
      <c r="G21" s="174"/>
      <c r="H21" s="174"/>
      <c r="I21" s="174"/>
      <c r="J21" s="174"/>
      <c r="K21" s="174"/>
      <c r="L21" s="185" t="s">
        <v>102</v>
      </c>
      <c r="M21" s="177" t="s">
        <v>103</v>
      </c>
      <c r="N21" s="177" t="s">
        <v>116</v>
      </c>
      <c r="O21" s="177" t="s">
        <v>117</v>
      </c>
      <c r="P21" s="177" t="s">
        <v>107</v>
      </c>
      <c r="Q21" s="177" t="s">
        <v>397</v>
      </c>
      <c r="R21" s="184" t="s">
        <v>208</v>
      </c>
      <c r="S21" s="178" t="s">
        <v>207</v>
      </c>
      <c r="T21" s="177" t="s">
        <v>234</v>
      </c>
      <c r="U21" s="178" t="s">
        <v>350</v>
      </c>
      <c r="W21" s="6">
        <f>1500/120</f>
        <v>12.5</v>
      </c>
    </row>
    <row r="22" spans="1:23" ht="15" customHeight="1" x14ac:dyDescent="0.2">
      <c r="A22" s="174"/>
      <c r="B22" s="172" t="s">
        <v>311</v>
      </c>
      <c r="C22" s="173" t="s">
        <v>408</v>
      </c>
      <c r="D22" s="174"/>
      <c r="E22" s="189"/>
      <c r="G22" s="189"/>
      <c r="H22" s="174"/>
      <c r="I22" s="174"/>
      <c r="J22" s="174"/>
      <c r="K22" s="174"/>
      <c r="L22" s="185" t="s">
        <v>102</v>
      </c>
      <c r="M22" s="177" t="s">
        <v>103</v>
      </c>
      <c r="N22" s="177" t="s">
        <v>118</v>
      </c>
      <c r="O22" s="177" t="s">
        <v>119</v>
      </c>
      <c r="P22" s="177" t="s">
        <v>107</v>
      </c>
      <c r="Q22" s="177" t="s">
        <v>397</v>
      </c>
      <c r="R22" s="184" t="s">
        <v>208</v>
      </c>
      <c r="S22" s="178" t="s">
        <v>207</v>
      </c>
      <c r="T22" s="177" t="s">
        <v>234</v>
      </c>
      <c r="U22" s="178" t="s">
        <v>351</v>
      </c>
    </row>
    <row r="23" spans="1:23" ht="15" customHeight="1" x14ac:dyDescent="0.2">
      <c r="A23" s="174"/>
      <c r="B23" s="180" t="s">
        <v>312</v>
      </c>
      <c r="C23" s="181" t="s">
        <v>409</v>
      </c>
      <c r="D23" s="174"/>
      <c r="E23" s="174"/>
      <c r="F23" s="174"/>
      <c r="G23" s="174"/>
      <c r="H23" s="174"/>
      <c r="I23" s="174"/>
      <c r="J23" s="174"/>
      <c r="K23" s="174"/>
      <c r="L23" s="185" t="s">
        <v>102</v>
      </c>
      <c r="M23" s="177" t="s">
        <v>103</v>
      </c>
      <c r="N23" s="177" t="s">
        <v>113</v>
      </c>
      <c r="O23" s="177" t="s">
        <v>212</v>
      </c>
      <c r="P23" s="177" t="s">
        <v>107</v>
      </c>
      <c r="Q23" s="177" t="s">
        <v>397</v>
      </c>
      <c r="R23" s="184" t="s">
        <v>211</v>
      </c>
      <c r="S23" s="178" t="s">
        <v>207</v>
      </c>
      <c r="T23" s="177" t="s">
        <v>234</v>
      </c>
      <c r="U23" s="178" t="s">
        <v>352</v>
      </c>
    </row>
    <row r="24" spans="1:23" ht="15" customHeight="1" x14ac:dyDescent="0.2">
      <c r="A24" s="174"/>
      <c r="B24" s="180" t="s">
        <v>312</v>
      </c>
      <c r="C24" s="181" t="s">
        <v>408</v>
      </c>
      <c r="D24" s="174"/>
      <c r="E24" s="174"/>
      <c r="F24" s="174"/>
      <c r="G24" s="174"/>
      <c r="H24" s="174"/>
      <c r="I24" s="174"/>
      <c r="J24" s="174"/>
      <c r="K24" s="174"/>
      <c r="L24" s="185" t="s">
        <v>102</v>
      </c>
      <c r="M24" s="177" t="s">
        <v>103</v>
      </c>
      <c r="N24" s="177" t="s">
        <v>120</v>
      </c>
      <c r="O24" s="177" t="s">
        <v>121</v>
      </c>
      <c r="P24" s="177" t="s">
        <v>107</v>
      </c>
      <c r="Q24" s="177" t="s">
        <v>399</v>
      </c>
      <c r="R24" s="184" t="s">
        <v>204</v>
      </c>
      <c r="S24" s="178" t="s">
        <v>207</v>
      </c>
      <c r="T24" s="177" t="s">
        <v>234</v>
      </c>
      <c r="U24" s="177" t="s">
        <v>172</v>
      </c>
    </row>
    <row r="25" spans="1:23" ht="15" customHeight="1" x14ac:dyDescent="0.2">
      <c r="A25" s="174"/>
      <c r="B25" s="174"/>
      <c r="C25" s="174"/>
      <c r="D25" s="174"/>
      <c r="E25" s="174"/>
      <c r="F25" s="174"/>
      <c r="G25" s="174"/>
      <c r="H25" s="174"/>
      <c r="I25" s="174"/>
      <c r="J25" s="174"/>
      <c r="K25" s="174"/>
      <c r="L25" s="185" t="s">
        <v>102</v>
      </c>
      <c r="M25" s="177" t="s">
        <v>127</v>
      </c>
      <c r="N25" s="177" t="s">
        <v>129</v>
      </c>
      <c r="O25" s="177" t="s">
        <v>210</v>
      </c>
      <c r="P25" s="177" t="s">
        <v>124</v>
      </c>
      <c r="Q25" s="177" t="s">
        <v>397</v>
      </c>
      <c r="R25" s="184" t="s">
        <v>816</v>
      </c>
      <c r="S25" s="177" t="s">
        <v>206</v>
      </c>
      <c r="T25" s="177" t="s">
        <v>232</v>
      </c>
      <c r="U25" s="178" t="s">
        <v>387</v>
      </c>
    </row>
    <row r="26" spans="1:23" ht="15" customHeight="1" x14ac:dyDescent="0.2">
      <c r="A26" s="174"/>
      <c r="B26" s="174"/>
      <c r="C26" s="174"/>
      <c r="D26" s="174"/>
      <c r="E26" s="174"/>
      <c r="F26" s="174"/>
      <c r="G26" s="174"/>
      <c r="H26" s="174"/>
      <c r="I26" s="174"/>
      <c r="J26" s="174"/>
      <c r="K26" s="174"/>
      <c r="L26" s="185" t="s">
        <v>102</v>
      </c>
      <c r="M26" s="177" t="s">
        <v>127</v>
      </c>
      <c r="N26" s="177" t="s">
        <v>128</v>
      </c>
      <c r="O26" s="177" t="s">
        <v>219</v>
      </c>
      <c r="P26" s="177" t="s">
        <v>107</v>
      </c>
      <c r="Q26" s="177" t="s">
        <v>397</v>
      </c>
      <c r="R26" s="184" t="s">
        <v>816</v>
      </c>
      <c r="S26" s="177" t="s">
        <v>206</v>
      </c>
      <c r="T26" s="177" t="s">
        <v>232</v>
      </c>
      <c r="U26" s="178" t="s">
        <v>386</v>
      </c>
    </row>
    <row r="27" spans="1:23" ht="15" customHeight="1" x14ac:dyDescent="0.2">
      <c r="A27" s="174"/>
      <c r="B27" s="174"/>
      <c r="C27" s="174"/>
      <c r="D27" s="174"/>
      <c r="E27" s="174"/>
      <c r="F27" s="174"/>
      <c r="G27" s="174"/>
      <c r="H27" s="174"/>
      <c r="I27" s="174"/>
      <c r="J27" s="174"/>
      <c r="K27" s="174"/>
      <c r="L27" s="185" t="s">
        <v>102</v>
      </c>
      <c r="M27" s="177" t="s">
        <v>125</v>
      </c>
      <c r="N27" s="177" t="s">
        <v>191</v>
      </c>
      <c r="O27" s="177" t="s">
        <v>801</v>
      </c>
      <c r="P27" s="177" t="s">
        <v>124</v>
      </c>
      <c r="Q27" s="177" t="s">
        <v>398</v>
      </c>
      <c r="R27" s="184" t="s">
        <v>816</v>
      </c>
      <c r="S27" s="177" t="s">
        <v>206</v>
      </c>
      <c r="T27" s="177" t="s">
        <v>233</v>
      </c>
      <c r="U27" s="178" t="s">
        <v>385</v>
      </c>
    </row>
    <row r="28" spans="1:23" ht="15" customHeight="1" x14ac:dyDescent="0.2">
      <c r="A28" s="174"/>
      <c r="B28" s="174"/>
      <c r="C28" s="174"/>
      <c r="D28" s="174"/>
      <c r="E28" s="174"/>
      <c r="F28" s="174"/>
      <c r="G28" s="174"/>
      <c r="H28" s="174"/>
      <c r="I28" s="174"/>
      <c r="J28" s="174"/>
      <c r="K28" s="174"/>
      <c r="L28" s="185" t="s">
        <v>102</v>
      </c>
      <c r="M28" s="177" t="s">
        <v>125</v>
      </c>
      <c r="N28" s="177" t="s">
        <v>192</v>
      </c>
      <c r="O28" s="177" t="s">
        <v>802</v>
      </c>
      <c r="P28" s="177" t="s">
        <v>107</v>
      </c>
      <c r="Q28" s="177" t="s">
        <v>397</v>
      </c>
      <c r="R28" s="184" t="s">
        <v>816</v>
      </c>
      <c r="S28" s="177" t="s">
        <v>206</v>
      </c>
      <c r="T28" s="177" t="s">
        <v>233</v>
      </c>
      <c r="U28" s="178" t="s">
        <v>385</v>
      </c>
    </row>
    <row r="29" spans="1:23" ht="15" customHeight="1" x14ac:dyDescent="0.2">
      <c r="A29" s="174"/>
      <c r="B29" s="174"/>
      <c r="C29" s="174"/>
      <c r="D29" s="174"/>
      <c r="E29" s="174"/>
      <c r="F29" s="174"/>
      <c r="G29" s="174"/>
      <c r="H29" s="174"/>
      <c r="I29" s="174"/>
      <c r="J29" s="174"/>
      <c r="K29" s="174"/>
      <c r="L29" s="185" t="s">
        <v>139</v>
      </c>
      <c r="M29" s="177" t="s">
        <v>144</v>
      </c>
      <c r="N29" s="177" t="s">
        <v>145</v>
      </c>
      <c r="O29" s="177" t="s">
        <v>146</v>
      </c>
      <c r="P29" s="177" t="s">
        <v>107</v>
      </c>
      <c r="Q29" s="177" t="s">
        <v>397</v>
      </c>
      <c r="R29" s="184" t="s">
        <v>816</v>
      </c>
      <c r="S29" s="177" t="s">
        <v>206</v>
      </c>
      <c r="T29" s="177" t="s">
        <v>232</v>
      </c>
      <c r="U29" s="178" t="s">
        <v>384</v>
      </c>
      <c r="W29" s="32"/>
    </row>
    <row r="30" spans="1:23" ht="15" customHeight="1" x14ac:dyDescent="0.2">
      <c r="A30" s="174"/>
      <c r="B30" s="174"/>
      <c r="C30" s="174"/>
      <c r="D30" s="174"/>
      <c r="E30" s="174"/>
      <c r="F30" s="174"/>
      <c r="G30" s="174"/>
      <c r="H30" s="174"/>
      <c r="I30" s="174"/>
      <c r="J30" s="174"/>
      <c r="K30" s="174"/>
      <c r="L30" s="185" t="s">
        <v>139</v>
      </c>
      <c r="M30" s="177" t="s">
        <v>144</v>
      </c>
      <c r="N30" s="177" t="s">
        <v>147</v>
      </c>
      <c r="O30" s="177" t="s">
        <v>353</v>
      </c>
      <c r="P30" s="177" t="s">
        <v>107</v>
      </c>
      <c r="Q30" s="177" t="s">
        <v>397</v>
      </c>
      <c r="R30" s="184" t="s">
        <v>213</v>
      </c>
      <c r="S30" s="177" t="s">
        <v>207</v>
      </c>
      <c r="T30" s="177" t="s">
        <v>232</v>
      </c>
      <c r="U30" s="177" t="s">
        <v>172</v>
      </c>
    </row>
    <row r="31" spans="1:23" ht="15" customHeight="1" x14ac:dyDescent="0.2">
      <c r="A31" s="174"/>
      <c r="B31" s="174"/>
      <c r="C31" s="174"/>
      <c r="D31" s="174"/>
      <c r="E31" s="182"/>
      <c r="F31" s="174"/>
      <c r="G31" s="174"/>
      <c r="H31" s="174"/>
      <c r="I31" s="174"/>
      <c r="J31" s="174"/>
      <c r="K31" s="174"/>
      <c r="L31" s="185" t="s">
        <v>139</v>
      </c>
      <c r="M31" s="177" t="s">
        <v>257</v>
      </c>
      <c r="N31" s="177" t="s">
        <v>193</v>
      </c>
      <c r="O31" s="177" t="s">
        <v>141</v>
      </c>
      <c r="P31" s="177" t="s">
        <v>124</v>
      </c>
      <c r="Q31" s="177" t="s">
        <v>398</v>
      </c>
      <c r="R31" s="184" t="s">
        <v>213</v>
      </c>
      <c r="S31" s="177" t="s">
        <v>207</v>
      </c>
      <c r="T31" s="177" t="s">
        <v>234</v>
      </c>
      <c r="U31" s="178" t="s">
        <v>354</v>
      </c>
    </row>
    <row r="32" spans="1:23" ht="15" customHeight="1" x14ac:dyDescent="0.2">
      <c r="A32" s="174"/>
      <c r="B32" s="174"/>
      <c r="C32" s="174"/>
      <c r="D32" s="174"/>
      <c r="E32" s="174"/>
      <c r="F32" s="174"/>
      <c r="G32" s="174"/>
      <c r="H32" s="174"/>
      <c r="I32" s="174"/>
      <c r="J32" s="174"/>
      <c r="K32" s="174"/>
      <c r="L32" s="185" t="s">
        <v>139</v>
      </c>
      <c r="M32" s="177" t="s">
        <v>257</v>
      </c>
      <c r="N32" s="177" t="s">
        <v>194</v>
      </c>
      <c r="O32" s="177" t="s">
        <v>141</v>
      </c>
      <c r="P32" s="177" t="s">
        <v>124</v>
      </c>
      <c r="Q32" s="177" t="s">
        <v>397</v>
      </c>
      <c r="R32" s="184" t="s">
        <v>213</v>
      </c>
      <c r="S32" s="177" t="s">
        <v>207</v>
      </c>
      <c r="T32" s="177" t="s">
        <v>234</v>
      </c>
      <c r="U32" s="178" t="s">
        <v>354</v>
      </c>
    </row>
    <row r="33" spans="1:23" ht="15" customHeight="1" x14ac:dyDescent="0.2">
      <c r="A33" s="174"/>
      <c r="B33" s="174"/>
      <c r="C33" s="174"/>
      <c r="D33" s="174"/>
      <c r="E33" s="174"/>
      <c r="F33" s="174"/>
      <c r="G33" s="174"/>
      <c r="H33" s="174"/>
      <c r="I33" s="174"/>
      <c r="J33" s="174"/>
      <c r="K33" s="174"/>
      <c r="L33" s="185" t="s">
        <v>139</v>
      </c>
      <c r="M33" s="177" t="s">
        <v>257</v>
      </c>
      <c r="N33" s="177" t="s">
        <v>196</v>
      </c>
      <c r="O33" s="178" t="s">
        <v>198</v>
      </c>
      <c r="P33" s="177" t="s">
        <v>124</v>
      </c>
      <c r="Q33" s="177" t="s">
        <v>397</v>
      </c>
      <c r="R33" s="184" t="s">
        <v>213</v>
      </c>
      <c r="S33" s="177" t="s">
        <v>207</v>
      </c>
      <c r="T33" s="177" t="s">
        <v>234</v>
      </c>
      <c r="U33" s="178" t="s">
        <v>355</v>
      </c>
    </row>
    <row r="34" spans="1:23" ht="15" customHeight="1" x14ac:dyDescent="0.2">
      <c r="A34" s="174"/>
      <c r="B34" s="174"/>
      <c r="C34" s="174"/>
      <c r="D34" s="174"/>
      <c r="E34" s="174"/>
      <c r="F34" s="174"/>
      <c r="G34" s="174"/>
      <c r="H34" s="174"/>
      <c r="I34" s="174"/>
      <c r="J34" s="174"/>
      <c r="K34" s="174"/>
      <c r="L34" s="185" t="s">
        <v>139</v>
      </c>
      <c r="M34" s="177" t="s">
        <v>257</v>
      </c>
      <c r="N34" s="177" t="s">
        <v>195</v>
      </c>
      <c r="O34" s="178" t="s">
        <v>197</v>
      </c>
      <c r="P34" s="177" t="s">
        <v>124</v>
      </c>
      <c r="Q34" s="177" t="s">
        <v>399</v>
      </c>
      <c r="R34" s="184" t="s">
        <v>213</v>
      </c>
      <c r="S34" s="177" t="s">
        <v>207</v>
      </c>
      <c r="T34" s="177" t="s">
        <v>234</v>
      </c>
      <c r="U34" s="178" t="s">
        <v>355</v>
      </c>
    </row>
    <row r="35" spans="1:23" ht="15" customHeight="1" x14ac:dyDescent="0.2">
      <c r="A35" s="174"/>
      <c r="B35" s="174"/>
      <c r="C35" s="174"/>
      <c r="D35" s="174"/>
      <c r="E35" s="174"/>
      <c r="F35" s="174"/>
      <c r="G35" s="174"/>
      <c r="H35" s="174"/>
      <c r="I35" s="174"/>
      <c r="J35" s="174"/>
      <c r="K35" s="174"/>
      <c r="L35" s="185" t="s">
        <v>139</v>
      </c>
      <c r="M35" s="178" t="s">
        <v>140</v>
      </c>
      <c r="N35" s="177" t="s">
        <v>900</v>
      </c>
      <c r="O35" s="178" t="s">
        <v>356</v>
      </c>
      <c r="P35" s="177" t="s">
        <v>107</v>
      </c>
      <c r="Q35" s="177" t="s">
        <v>397</v>
      </c>
      <c r="R35" s="184" t="s">
        <v>816</v>
      </c>
      <c r="S35" s="177" t="s">
        <v>206</v>
      </c>
      <c r="T35" s="177" t="s">
        <v>232</v>
      </c>
      <c r="U35" s="178" t="s">
        <v>383</v>
      </c>
    </row>
    <row r="36" spans="1:23" ht="15" customHeight="1" x14ac:dyDescent="0.2">
      <c r="A36" s="174"/>
      <c r="B36" s="174"/>
      <c r="C36" s="174"/>
      <c r="D36" s="174"/>
      <c r="E36" s="174"/>
      <c r="F36" s="174"/>
      <c r="G36" s="174"/>
      <c r="H36" s="174"/>
      <c r="I36" s="174"/>
      <c r="J36" s="174"/>
      <c r="K36" s="174"/>
      <c r="L36" s="185" t="s">
        <v>139</v>
      </c>
      <c r="M36" s="178" t="s">
        <v>143</v>
      </c>
      <c r="N36" s="177" t="s">
        <v>200</v>
      </c>
      <c r="O36" s="178" t="s">
        <v>357</v>
      </c>
      <c r="P36" s="177" t="s">
        <v>124</v>
      </c>
      <c r="Q36" s="177" t="s">
        <v>398</v>
      </c>
      <c r="R36" s="184" t="s">
        <v>816</v>
      </c>
      <c r="S36" s="177" t="s">
        <v>206</v>
      </c>
      <c r="T36" s="177" t="s">
        <v>233</v>
      </c>
      <c r="U36" s="178" t="s">
        <v>382</v>
      </c>
      <c r="W36" s="8"/>
    </row>
    <row r="37" spans="1:23" ht="15" customHeight="1" x14ac:dyDescent="0.2">
      <c r="A37" s="174"/>
      <c r="B37" s="174"/>
      <c r="C37" s="174"/>
      <c r="D37" s="174"/>
      <c r="E37" s="174"/>
      <c r="F37" s="174"/>
      <c r="G37" s="174"/>
      <c r="H37" s="174"/>
      <c r="I37" s="174"/>
      <c r="J37" s="174"/>
      <c r="K37" s="174"/>
      <c r="L37" s="185" t="s">
        <v>139</v>
      </c>
      <c r="M37" s="177" t="s">
        <v>143</v>
      </c>
      <c r="N37" s="177" t="s">
        <v>199</v>
      </c>
      <c r="O37" s="178" t="s">
        <v>358</v>
      </c>
      <c r="P37" s="177" t="s">
        <v>107</v>
      </c>
      <c r="Q37" s="177" t="s">
        <v>397</v>
      </c>
      <c r="R37" s="184" t="s">
        <v>816</v>
      </c>
      <c r="S37" s="177" t="s">
        <v>206</v>
      </c>
      <c r="T37" s="177" t="s">
        <v>233</v>
      </c>
      <c r="U37" s="178" t="s">
        <v>382</v>
      </c>
      <c r="W37" s="8"/>
    </row>
    <row r="38" spans="1:23" ht="15" customHeight="1" x14ac:dyDescent="0.2">
      <c r="A38" s="174"/>
      <c r="B38" s="174"/>
      <c r="C38" s="174"/>
      <c r="D38" s="174"/>
      <c r="E38" s="174"/>
      <c r="F38" s="174"/>
      <c r="G38" s="174"/>
      <c r="H38" s="174"/>
      <c r="I38" s="174"/>
      <c r="J38" s="174"/>
      <c r="K38" s="174"/>
      <c r="L38" s="185" t="s">
        <v>139</v>
      </c>
      <c r="M38" s="177" t="s">
        <v>142</v>
      </c>
      <c r="N38" s="177" t="s">
        <v>201</v>
      </c>
      <c r="O38" s="178" t="s">
        <v>359</v>
      </c>
      <c r="P38" s="177" t="s">
        <v>124</v>
      </c>
      <c r="Q38" s="177" t="s">
        <v>398</v>
      </c>
      <c r="R38" s="184" t="s">
        <v>816</v>
      </c>
      <c r="S38" s="177" t="s">
        <v>206</v>
      </c>
      <c r="T38" s="177" t="s">
        <v>233</v>
      </c>
      <c r="U38" s="178" t="s">
        <v>361</v>
      </c>
      <c r="W38" s="32"/>
    </row>
    <row r="39" spans="1:23" ht="15" customHeight="1" x14ac:dyDescent="0.2">
      <c r="A39" s="174"/>
      <c r="B39" s="174"/>
      <c r="C39" s="174"/>
      <c r="D39" s="174"/>
      <c r="E39" s="174"/>
      <c r="F39" s="174"/>
      <c r="G39" s="174"/>
      <c r="H39" s="174"/>
      <c r="I39" s="174"/>
      <c r="J39" s="174"/>
      <c r="K39" s="174"/>
      <c r="L39" s="185" t="s">
        <v>139</v>
      </c>
      <c r="M39" s="177" t="s">
        <v>142</v>
      </c>
      <c r="N39" s="177" t="s">
        <v>202</v>
      </c>
      <c r="O39" s="178" t="s">
        <v>360</v>
      </c>
      <c r="P39" s="177" t="s">
        <v>107</v>
      </c>
      <c r="Q39" s="177" t="s">
        <v>397</v>
      </c>
      <c r="R39" s="184" t="s">
        <v>816</v>
      </c>
      <c r="S39" s="177" t="s">
        <v>206</v>
      </c>
      <c r="T39" s="177" t="s">
        <v>233</v>
      </c>
      <c r="U39" s="178" t="s">
        <v>361</v>
      </c>
    </row>
    <row r="40" spans="1:23" ht="15" customHeight="1" x14ac:dyDescent="0.2">
      <c r="A40" s="174"/>
      <c r="B40" s="174"/>
      <c r="C40" s="174"/>
      <c r="D40" s="183"/>
      <c r="E40" s="183"/>
      <c r="F40" s="174"/>
      <c r="G40" s="174"/>
      <c r="H40" s="174"/>
      <c r="I40" s="174"/>
      <c r="J40" s="174"/>
      <c r="K40" s="174"/>
      <c r="L40" s="185" t="s">
        <v>139</v>
      </c>
      <c r="M40" s="177" t="s">
        <v>148</v>
      </c>
      <c r="N40" s="177" t="s">
        <v>148</v>
      </c>
      <c r="O40" s="177" t="s">
        <v>905</v>
      </c>
      <c r="P40" s="177" t="s">
        <v>107</v>
      </c>
      <c r="Q40" s="177" t="s">
        <v>397</v>
      </c>
      <c r="R40" s="179" t="s">
        <v>218</v>
      </c>
      <c r="S40" s="177" t="s">
        <v>214</v>
      </c>
      <c r="T40" s="177" t="s">
        <v>234</v>
      </c>
      <c r="U40" s="177" t="s">
        <v>172</v>
      </c>
    </row>
    <row r="41" spans="1:23" ht="15" customHeight="1" x14ac:dyDescent="0.2">
      <c r="A41" s="174"/>
      <c r="B41" s="183"/>
      <c r="C41" s="183"/>
      <c r="D41" s="183"/>
      <c r="E41" s="183"/>
      <c r="F41" s="174"/>
      <c r="G41" s="174"/>
      <c r="H41" s="174"/>
      <c r="I41" s="174"/>
      <c r="J41" s="174"/>
      <c r="K41" s="174"/>
      <c r="L41" s="185" t="s">
        <v>149</v>
      </c>
      <c r="M41" s="177" t="s">
        <v>897</v>
      </c>
      <c r="N41" s="177" t="s">
        <v>929</v>
      </c>
      <c r="O41" s="177" t="s">
        <v>844</v>
      </c>
      <c r="P41" s="177" t="s">
        <v>124</v>
      </c>
      <c r="Q41" s="177" t="s">
        <v>225</v>
      </c>
      <c r="R41" s="184" t="s">
        <v>213</v>
      </c>
      <c r="S41" s="177" t="s">
        <v>214</v>
      </c>
      <c r="T41" s="177" t="s">
        <v>817</v>
      </c>
      <c r="U41" s="177"/>
    </row>
    <row r="42" spans="1:23" ht="15" customHeight="1" x14ac:dyDescent="0.2">
      <c r="A42" s="174"/>
      <c r="B42" s="183"/>
      <c r="C42" s="183"/>
      <c r="D42" s="183"/>
      <c r="E42" s="183"/>
      <c r="F42" s="174"/>
      <c r="G42" s="174"/>
      <c r="H42" s="174"/>
      <c r="I42" s="174"/>
      <c r="J42" s="174"/>
      <c r="K42" s="174"/>
      <c r="L42" s="185" t="s">
        <v>149</v>
      </c>
      <c r="M42" s="177" t="s">
        <v>897</v>
      </c>
      <c r="N42" s="177" t="s">
        <v>916</v>
      </c>
      <c r="O42" s="177" t="s">
        <v>848</v>
      </c>
      <c r="P42" s="177" t="s">
        <v>124</v>
      </c>
      <c r="Q42" s="177" t="s">
        <v>225</v>
      </c>
      <c r="R42" s="184" t="s">
        <v>816</v>
      </c>
      <c r="S42" s="177" t="s">
        <v>206</v>
      </c>
      <c r="T42" s="177" t="s">
        <v>172</v>
      </c>
      <c r="U42" s="177" t="s">
        <v>849</v>
      </c>
    </row>
    <row r="43" spans="1:23" ht="15" customHeight="1" x14ac:dyDescent="0.2">
      <c r="A43" s="174"/>
      <c r="B43" s="183"/>
      <c r="C43" s="183"/>
      <c r="D43" s="174"/>
      <c r="E43" s="174"/>
      <c r="F43" s="174"/>
      <c r="G43" s="174"/>
      <c r="H43" s="174"/>
      <c r="I43" s="174"/>
      <c r="J43" s="174"/>
      <c r="K43" s="174"/>
      <c r="L43" s="185" t="s">
        <v>149</v>
      </c>
      <c r="M43" s="177" t="s">
        <v>897</v>
      </c>
      <c r="N43" s="178" t="s">
        <v>920</v>
      </c>
      <c r="O43" s="177" t="s">
        <v>906</v>
      </c>
      <c r="P43" s="177" t="s">
        <v>124</v>
      </c>
      <c r="Q43" s="177" t="s">
        <v>225</v>
      </c>
      <c r="R43" s="184" t="s">
        <v>816</v>
      </c>
      <c r="S43" s="177" t="s">
        <v>206</v>
      </c>
      <c r="T43" s="177" t="s">
        <v>232</v>
      </c>
      <c r="U43" s="177"/>
    </row>
    <row r="44" spans="1:23" ht="15" customHeight="1" x14ac:dyDescent="0.2">
      <c r="A44" s="174"/>
      <c r="B44" s="174"/>
      <c r="C44" s="174"/>
      <c r="D44" s="174"/>
      <c r="E44" s="174"/>
      <c r="F44" s="174"/>
      <c r="G44" s="174"/>
      <c r="H44" s="174"/>
      <c r="I44" s="174"/>
      <c r="J44" s="174"/>
      <c r="K44" s="174"/>
      <c r="L44" s="185" t="s">
        <v>149</v>
      </c>
      <c r="M44" s="177" t="s">
        <v>897</v>
      </c>
      <c r="N44" s="177" t="s">
        <v>850</v>
      </c>
      <c r="O44" s="177" t="s">
        <v>851</v>
      </c>
      <c r="P44" s="177" t="s">
        <v>124</v>
      </c>
      <c r="Q44" s="177" t="s">
        <v>225</v>
      </c>
      <c r="R44" s="184" t="s">
        <v>816</v>
      </c>
      <c r="S44" s="177" t="s">
        <v>206</v>
      </c>
      <c r="T44" s="177" t="s">
        <v>817</v>
      </c>
      <c r="U44" s="177"/>
    </row>
    <row r="45" spans="1:23" ht="15" customHeight="1" x14ac:dyDescent="0.2">
      <c r="A45" s="174"/>
      <c r="B45" s="182"/>
      <c r="C45" s="174"/>
      <c r="D45" s="174"/>
      <c r="E45" s="174"/>
      <c r="F45" s="174"/>
      <c r="G45" s="174"/>
      <c r="H45" s="174"/>
      <c r="I45" s="174"/>
      <c r="J45" s="174"/>
      <c r="K45" s="174"/>
      <c r="L45" s="185" t="s">
        <v>149</v>
      </c>
      <c r="M45" s="177" t="s">
        <v>897</v>
      </c>
      <c r="N45" s="177" t="s">
        <v>840</v>
      </c>
      <c r="O45" s="177" t="s">
        <v>841</v>
      </c>
      <c r="P45" s="177" t="s">
        <v>107</v>
      </c>
      <c r="Q45" s="177" t="s">
        <v>225</v>
      </c>
      <c r="R45" s="184" t="s">
        <v>816</v>
      </c>
      <c r="S45" s="177" t="s">
        <v>206</v>
      </c>
      <c r="T45" s="177" t="s">
        <v>842</v>
      </c>
      <c r="U45" s="177"/>
    </row>
    <row r="46" spans="1:23" ht="15.75" customHeight="1" x14ac:dyDescent="0.2">
      <c r="A46" s="174"/>
      <c r="B46" s="182"/>
      <c r="C46" s="174"/>
      <c r="D46" s="174"/>
      <c r="E46" s="174"/>
      <c r="F46" s="174"/>
      <c r="G46" s="174"/>
      <c r="H46" s="174"/>
      <c r="I46" s="174"/>
      <c r="J46" s="174"/>
      <c r="K46" s="174"/>
      <c r="L46" s="185" t="s">
        <v>149</v>
      </c>
      <c r="M46" s="177" t="s">
        <v>897</v>
      </c>
      <c r="N46" s="178" t="s">
        <v>902</v>
      </c>
      <c r="O46" s="177" t="s">
        <v>906</v>
      </c>
      <c r="P46" s="177" t="s">
        <v>124</v>
      </c>
      <c r="Q46" s="177" t="s">
        <v>225</v>
      </c>
      <c r="R46" s="184" t="s">
        <v>816</v>
      </c>
      <c r="S46" s="177" t="s">
        <v>206</v>
      </c>
      <c r="T46" s="177" t="s">
        <v>232</v>
      </c>
      <c r="U46" s="177"/>
    </row>
    <row r="47" spans="1:23" ht="15" customHeight="1" x14ac:dyDescent="0.2">
      <c r="A47" s="174"/>
      <c r="B47" s="182"/>
      <c r="C47" s="174"/>
      <c r="D47" s="174"/>
      <c r="E47" s="174"/>
      <c r="F47" s="174"/>
      <c r="G47" s="174"/>
      <c r="H47" s="174"/>
      <c r="I47" s="174"/>
      <c r="J47" s="174"/>
      <c r="K47" s="174"/>
      <c r="L47" s="185" t="s">
        <v>149</v>
      </c>
      <c r="M47" s="177" t="s">
        <v>897</v>
      </c>
      <c r="N47" s="177" t="s">
        <v>917</v>
      </c>
      <c r="O47" s="177" t="s">
        <v>844</v>
      </c>
      <c r="P47" s="177" t="s">
        <v>124</v>
      </c>
      <c r="Q47" s="177" t="s">
        <v>225</v>
      </c>
      <c r="R47" s="184" t="s">
        <v>213</v>
      </c>
      <c r="S47" s="177" t="s">
        <v>214</v>
      </c>
      <c r="T47" s="177" t="s">
        <v>817</v>
      </c>
      <c r="U47" s="177"/>
    </row>
    <row r="48" spans="1:23" ht="15" customHeight="1" x14ac:dyDescent="0.2">
      <c r="A48" s="174"/>
      <c r="B48" s="174"/>
      <c r="C48" s="174"/>
      <c r="D48" s="174"/>
      <c r="E48" s="174"/>
      <c r="F48" s="174"/>
      <c r="G48" s="174"/>
      <c r="H48" s="174"/>
      <c r="I48" s="174"/>
      <c r="J48" s="174"/>
      <c r="K48" s="174"/>
      <c r="L48" s="185" t="s">
        <v>149</v>
      </c>
      <c r="M48" s="177" t="s">
        <v>897</v>
      </c>
      <c r="N48" s="177" t="s">
        <v>846</v>
      </c>
      <c r="O48" s="177" t="s">
        <v>847</v>
      </c>
      <c r="P48" s="177" t="s">
        <v>124</v>
      </c>
      <c r="Q48" s="177" t="s">
        <v>225</v>
      </c>
      <c r="R48" s="184" t="s">
        <v>213</v>
      </c>
      <c r="S48" s="177" t="s">
        <v>214</v>
      </c>
      <c r="T48" s="177" t="s">
        <v>817</v>
      </c>
      <c r="U48" s="177"/>
    </row>
    <row r="49" spans="1:21" ht="15" customHeight="1" x14ac:dyDescent="0.2">
      <c r="A49" s="174"/>
      <c r="B49" s="174"/>
      <c r="C49" s="174"/>
      <c r="D49" s="174"/>
      <c r="E49" s="174"/>
      <c r="F49" s="174"/>
      <c r="G49" s="174"/>
      <c r="H49" s="174"/>
      <c r="I49" s="174"/>
      <c r="J49" s="174"/>
      <c r="K49" s="174"/>
      <c r="L49" s="185" t="s">
        <v>149</v>
      </c>
      <c r="M49" s="177" t="s">
        <v>897</v>
      </c>
      <c r="N49" s="177" t="s">
        <v>883</v>
      </c>
      <c r="O49" s="177" t="s">
        <v>844</v>
      </c>
      <c r="P49" s="177" t="s">
        <v>124</v>
      </c>
      <c r="Q49" s="177" t="s">
        <v>225</v>
      </c>
      <c r="R49" s="184" t="s">
        <v>213</v>
      </c>
      <c r="S49" s="177" t="s">
        <v>214</v>
      </c>
      <c r="T49" s="177" t="s">
        <v>817</v>
      </c>
      <c r="U49" s="177"/>
    </row>
    <row r="50" spans="1:21" ht="15" customHeight="1" x14ac:dyDescent="0.2">
      <c r="A50" s="174"/>
      <c r="B50" s="174"/>
      <c r="C50" s="174"/>
      <c r="D50" s="174"/>
      <c r="E50" s="174"/>
      <c r="F50" s="174"/>
      <c r="G50" s="174"/>
      <c r="H50" s="174"/>
      <c r="I50" s="174"/>
      <c r="J50" s="174"/>
      <c r="K50" s="174"/>
      <c r="L50" s="185" t="s">
        <v>149</v>
      </c>
      <c r="M50" s="177" t="s">
        <v>897</v>
      </c>
      <c r="N50" s="177" t="s">
        <v>220</v>
      </c>
      <c r="O50" s="177" t="s">
        <v>223</v>
      </c>
      <c r="P50" s="177" t="s">
        <v>224</v>
      </c>
      <c r="Q50" s="177" t="s">
        <v>225</v>
      </c>
      <c r="R50" s="184" t="s">
        <v>213</v>
      </c>
      <c r="S50" s="177" t="s">
        <v>207</v>
      </c>
      <c r="T50" s="177" t="s">
        <v>234</v>
      </c>
      <c r="U50" s="177" t="s">
        <v>172</v>
      </c>
    </row>
    <row r="51" spans="1:21" ht="15" customHeight="1" x14ac:dyDescent="0.2">
      <c r="A51" s="174"/>
      <c r="B51" s="174"/>
      <c r="C51" s="174"/>
      <c r="D51" s="174"/>
      <c r="E51" s="174"/>
      <c r="F51" s="174"/>
      <c r="G51" s="174"/>
      <c r="H51" s="174"/>
      <c r="I51" s="174"/>
      <c r="J51" s="174"/>
      <c r="K51" s="174"/>
      <c r="L51" s="185" t="s">
        <v>149</v>
      </c>
      <c r="M51" s="177" t="s">
        <v>897</v>
      </c>
      <c r="N51" s="177" t="s">
        <v>928</v>
      </c>
      <c r="O51" s="177" t="s">
        <v>844</v>
      </c>
      <c r="P51" s="177" t="s">
        <v>124</v>
      </c>
      <c r="Q51" s="177" t="s">
        <v>225</v>
      </c>
      <c r="R51" s="184" t="s">
        <v>213</v>
      </c>
      <c r="S51" s="177" t="s">
        <v>214</v>
      </c>
      <c r="T51" s="177" t="s">
        <v>233</v>
      </c>
      <c r="U51" s="177"/>
    </row>
    <row r="52" spans="1:21" ht="15" customHeight="1" x14ac:dyDescent="0.2">
      <c r="A52" s="174"/>
      <c r="B52" s="174"/>
      <c r="C52" s="174"/>
      <c r="D52" s="174"/>
      <c r="E52" s="174"/>
      <c r="F52" s="174"/>
      <c r="G52" s="174"/>
      <c r="H52" s="174"/>
      <c r="I52" s="174"/>
      <c r="J52" s="174"/>
      <c r="K52" s="174"/>
      <c r="L52" s="185" t="s">
        <v>149</v>
      </c>
      <c r="M52" s="177" t="s">
        <v>897</v>
      </c>
      <c r="N52" s="177" t="s">
        <v>918</v>
      </c>
      <c r="O52" s="177" t="s">
        <v>844</v>
      </c>
      <c r="P52" s="177" t="s">
        <v>124</v>
      </c>
      <c r="Q52" s="177" t="s">
        <v>225</v>
      </c>
      <c r="R52" s="184" t="s">
        <v>213</v>
      </c>
      <c r="S52" s="177" t="s">
        <v>214</v>
      </c>
      <c r="T52" s="177" t="s">
        <v>233</v>
      </c>
      <c r="U52" s="177"/>
    </row>
    <row r="53" spans="1:21" ht="15" customHeight="1" x14ac:dyDescent="0.2">
      <c r="A53" s="174"/>
      <c r="B53" s="174"/>
      <c r="C53" s="174"/>
      <c r="D53" s="174"/>
      <c r="E53" s="174"/>
      <c r="F53" s="174"/>
      <c r="G53" s="174"/>
      <c r="H53" s="174"/>
      <c r="I53" s="174"/>
      <c r="J53" s="174"/>
      <c r="K53" s="174"/>
      <c r="L53" s="188" t="s">
        <v>149</v>
      </c>
      <c r="M53" s="186" t="s">
        <v>897</v>
      </c>
      <c r="N53" s="186" t="s">
        <v>811</v>
      </c>
      <c r="O53" s="186" t="s">
        <v>813</v>
      </c>
      <c r="P53" s="186" t="s">
        <v>107</v>
      </c>
      <c r="Q53" s="186" t="s">
        <v>397</v>
      </c>
      <c r="R53" s="187" t="s">
        <v>816</v>
      </c>
      <c r="S53" s="186" t="s">
        <v>206</v>
      </c>
      <c r="T53" s="177" t="s">
        <v>232</v>
      </c>
      <c r="U53" s="177"/>
    </row>
    <row r="54" spans="1:21" ht="15" customHeight="1" x14ac:dyDescent="0.2">
      <c r="A54" s="174"/>
      <c r="B54" s="174"/>
      <c r="C54" s="174"/>
      <c r="D54" s="174"/>
      <c r="E54" s="174"/>
      <c r="F54" s="174"/>
      <c r="G54" s="174"/>
      <c r="H54" s="174"/>
      <c r="I54" s="174"/>
      <c r="J54" s="174"/>
      <c r="K54" s="174"/>
      <c r="L54" s="188" t="s">
        <v>149</v>
      </c>
      <c r="M54" s="186" t="s">
        <v>897</v>
      </c>
      <c r="N54" s="199" t="s">
        <v>921</v>
      </c>
      <c r="O54" s="186" t="s">
        <v>912</v>
      </c>
      <c r="P54" s="186" t="s">
        <v>107</v>
      </c>
      <c r="Q54" s="186" t="s">
        <v>225</v>
      </c>
      <c r="R54" s="187" t="s">
        <v>816</v>
      </c>
      <c r="S54" s="186" t="s">
        <v>206</v>
      </c>
      <c r="T54" s="177" t="s">
        <v>232</v>
      </c>
      <c r="U54" s="177"/>
    </row>
    <row r="55" spans="1:21" ht="15" customHeight="1" x14ac:dyDescent="0.2">
      <c r="A55" s="174"/>
      <c r="B55" s="174"/>
      <c r="C55" s="174"/>
      <c r="D55" s="174"/>
      <c r="E55" s="174"/>
      <c r="F55" s="174"/>
      <c r="G55" s="174"/>
      <c r="H55" s="174"/>
      <c r="I55" s="174"/>
      <c r="J55" s="174"/>
      <c r="K55" s="174"/>
      <c r="L55" s="188" t="s">
        <v>149</v>
      </c>
      <c r="M55" s="186" t="s">
        <v>897</v>
      </c>
      <c r="N55" s="186" t="s">
        <v>843</v>
      </c>
      <c r="O55" s="186" t="s">
        <v>844</v>
      </c>
      <c r="P55" s="186" t="s">
        <v>124</v>
      </c>
      <c r="Q55" s="186" t="s">
        <v>225</v>
      </c>
      <c r="R55" s="187" t="s">
        <v>845</v>
      </c>
      <c r="S55" s="186" t="s">
        <v>207</v>
      </c>
      <c r="T55" s="177" t="s">
        <v>817</v>
      </c>
      <c r="U55" s="177"/>
    </row>
    <row r="56" spans="1:21" ht="15" customHeight="1" x14ac:dyDescent="0.2">
      <c r="A56" s="174"/>
      <c r="B56" s="174"/>
      <c r="C56" s="174"/>
      <c r="D56" s="174"/>
      <c r="E56" s="174"/>
      <c r="F56" s="174"/>
      <c r="G56" s="174"/>
      <c r="H56" s="174"/>
      <c r="I56" s="174"/>
      <c r="J56" s="174"/>
      <c r="K56" s="174"/>
      <c r="L56" s="188" t="s">
        <v>149</v>
      </c>
      <c r="M56" s="186" t="s">
        <v>897</v>
      </c>
      <c r="N56" s="186" t="s">
        <v>919</v>
      </c>
      <c r="O56" s="186" t="s">
        <v>911</v>
      </c>
      <c r="P56" s="186" t="s">
        <v>107</v>
      </c>
      <c r="Q56" s="186" t="s">
        <v>225</v>
      </c>
      <c r="R56" s="187" t="s">
        <v>816</v>
      </c>
      <c r="S56" s="186" t="s">
        <v>206</v>
      </c>
      <c r="T56" s="186" t="s">
        <v>232</v>
      </c>
      <c r="U56" s="177"/>
    </row>
    <row r="57" spans="1:21" ht="15" customHeight="1" x14ac:dyDescent="0.2">
      <c r="A57" s="174"/>
      <c r="B57" s="174"/>
      <c r="C57" s="174"/>
      <c r="D57" s="174"/>
      <c r="E57" s="174"/>
      <c r="F57" s="174"/>
      <c r="G57" s="174"/>
      <c r="H57" s="174"/>
      <c r="I57" s="174"/>
      <c r="J57" s="174"/>
      <c r="K57" s="174"/>
      <c r="L57" s="185" t="s">
        <v>149</v>
      </c>
      <c r="M57" s="177" t="s">
        <v>151</v>
      </c>
      <c r="N57" s="177" t="s">
        <v>155</v>
      </c>
      <c r="O57" s="177" t="s">
        <v>364</v>
      </c>
      <c r="P57" s="177" t="s">
        <v>107</v>
      </c>
      <c r="Q57" s="177" t="s">
        <v>397</v>
      </c>
      <c r="R57" s="184" t="s">
        <v>363</v>
      </c>
      <c r="S57" s="177" t="s">
        <v>207</v>
      </c>
      <c r="T57" s="177" t="s">
        <v>233</v>
      </c>
      <c r="U57" s="178" t="s">
        <v>365</v>
      </c>
    </row>
    <row r="58" spans="1:21" ht="15" customHeight="1" x14ac:dyDescent="0.2">
      <c r="A58" s="174"/>
      <c r="B58" s="174"/>
      <c r="C58" s="174"/>
      <c r="D58" s="174"/>
      <c r="E58" s="174"/>
      <c r="F58" s="174"/>
      <c r="G58" s="174"/>
      <c r="H58" s="174"/>
      <c r="I58" s="174"/>
      <c r="J58" s="174"/>
      <c r="K58" s="174"/>
      <c r="L58" s="185" t="s">
        <v>149</v>
      </c>
      <c r="M58" s="177" t="s">
        <v>151</v>
      </c>
      <c r="N58" s="177" t="s">
        <v>154</v>
      </c>
      <c r="O58" s="177" t="s">
        <v>366</v>
      </c>
      <c r="P58" s="177" t="s">
        <v>124</v>
      </c>
      <c r="Q58" s="177" t="s">
        <v>398</v>
      </c>
      <c r="R58" s="184" t="s">
        <v>363</v>
      </c>
      <c r="S58" s="177" t="s">
        <v>207</v>
      </c>
      <c r="T58" s="177" t="s">
        <v>233</v>
      </c>
      <c r="U58" s="178" t="s">
        <v>369</v>
      </c>
    </row>
    <row r="59" spans="1:21" ht="15" customHeight="1" x14ac:dyDescent="0.2">
      <c r="A59" s="174"/>
      <c r="B59" s="174"/>
      <c r="C59" s="174"/>
      <c r="D59" s="174"/>
      <c r="E59" s="174"/>
      <c r="F59" s="174"/>
      <c r="G59" s="174"/>
      <c r="H59" s="174"/>
      <c r="I59" s="174"/>
      <c r="J59" s="174"/>
      <c r="K59" s="174"/>
      <c r="L59" s="185" t="s">
        <v>149</v>
      </c>
      <c r="M59" s="177" t="s">
        <v>151</v>
      </c>
      <c r="N59" s="177" t="s">
        <v>152</v>
      </c>
      <c r="O59" s="177" t="s">
        <v>907</v>
      </c>
      <c r="P59" s="177" t="s">
        <v>124</v>
      </c>
      <c r="Q59" s="177" t="s">
        <v>398</v>
      </c>
      <c r="R59" s="184" t="s">
        <v>215</v>
      </c>
      <c r="S59" s="177" t="s">
        <v>207</v>
      </c>
      <c r="T59" s="177" t="s">
        <v>234</v>
      </c>
      <c r="U59" s="178" t="s">
        <v>368</v>
      </c>
    </row>
    <row r="60" spans="1:21" ht="15" customHeight="1" x14ac:dyDescent="0.2">
      <c r="A60" s="174"/>
      <c r="B60" s="174"/>
      <c r="C60" s="174"/>
      <c r="D60" s="174"/>
      <c r="E60" s="174"/>
      <c r="F60" s="174"/>
      <c r="G60" s="174"/>
      <c r="H60" s="174"/>
      <c r="I60" s="174"/>
      <c r="J60" s="174"/>
      <c r="K60" s="174"/>
      <c r="L60" s="185" t="s">
        <v>149</v>
      </c>
      <c r="M60" s="177" t="s">
        <v>151</v>
      </c>
      <c r="N60" s="177" t="s">
        <v>153</v>
      </c>
      <c r="O60" s="177" t="s">
        <v>908</v>
      </c>
      <c r="P60" s="177" t="s">
        <v>107</v>
      </c>
      <c r="Q60" s="177" t="s">
        <v>397</v>
      </c>
      <c r="R60" s="184" t="s">
        <v>215</v>
      </c>
      <c r="S60" s="177" t="s">
        <v>207</v>
      </c>
      <c r="T60" s="177" t="s">
        <v>234</v>
      </c>
      <c r="U60" s="178" t="s">
        <v>367</v>
      </c>
    </row>
    <row r="61" spans="1:21" ht="15" customHeight="1" x14ac:dyDescent="0.2">
      <c r="A61" s="174"/>
      <c r="B61" s="174"/>
      <c r="C61" s="174"/>
      <c r="D61" s="174"/>
      <c r="E61" s="174"/>
      <c r="F61" s="174"/>
      <c r="G61" s="174"/>
      <c r="H61" s="174"/>
      <c r="I61" s="174"/>
      <c r="J61" s="174"/>
      <c r="K61" s="174"/>
      <c r="L61" s="185" t="s">
        <v>149</v>
      </c>
      <c r="M61" s="177" t="s">
        <v>156</v>
      </c>
      <c r="N61" s="177" t="s">
        <v>161</v>
      </c>
      <c r="O61" s="177" t="s">
        <v>162</v>
      </c>
      <c r="P61" s="177" t="s">
        <v>107</v>
      </c>
      <c r="Q61" s="177" t="s">
        <v>397</v>
      </c>
      <c r="R61" s="184" t="s">
        <v>216</v>
      </c>
      <c r="S61" s="177" t="s">
        <v>207</v>
      </c>
      <c r="T61" s="177" t="s">
        <v>233</v>
      </c>
      <c r="U61" s="178" t="s">
        <v>370</v>
      </c>
    </row>
    <row r="62" spans="1:21" ht="15" customHeight="1" x14ac:dyDescent="0.2">
      <c r="A62" s="174"/>
      <c r="B62" s="174"/>
      <c r="C62" s="174"/>
      <c r="D62" s="174"/>
      <c r="E62" s="174"/>
      <c r="F62" s="174"/>
      <c r="G62" s="174"/>
      <c r="H62" s="174"/>
      <c r="I62" s="174"/>
      <c r="J62" s="174"/>
      <c r="K62" s="174"/>
      <c r="L62" s="185" t="s">
        <v>149</v>
      </c>
      <c r="M62" s="177" t="s">
        <v>156</v>
      </c>
      <c r="N62" s="177" t="s">
        <v>159</v>
      </c>
      <c r="O62" s="177" t="s">
        <v>160</v>
      </c>
      <c r="P62" s="177" t="s">
        <v>124</v>
      </c>
      <c r="Q62" s="177" t="s">
        <v>398</v>
      </c>
      <c r="R62" s="184" t="s">
        <v>216</v>
      </c>
      <c r="S62" s="177" t="s">
        <v>207</v>
      </c>
      <c r="T62" s="177" t="s">
        <v>233</v>
      </c>
      <c r="U62" s="178" t="s">
        <v>372</v>
      </c>
    </row>
    <row r="63" spans="1:21" ht="15" customHeight="1" x14ac:dyDescent="0.2">
      <c r="A63" s="174"/>
      <c r="B63" s="174"/>
      <c r="C63" s="174"/>
      <c r="D63" s="174"/>
      <c r="E63" s="174"/>
      <c r="F63" s="174"/>
      <c r="G63" s="174"/>
      <c r="H63" s="174"/>
      <c r="I63" s="174"/>
      <c r="J63" s="174"/>
      <c r="K63" s="174"/>
      <c r="L63" s="185" t="s">
        <v>149</v>
      </c>
      <c r="M63" s="177" t="s">
        <v>156</v>
      </c>
      <c r="N63" s="177" t="s">
        <v>157</v>
      </c>
      <c r="O63" s="177" t="s">
        <v>909</v>
      </c>
      <c r="P63" s="177" t="s">
        <v>124</v>
      </c>
      <c r="Q63" s="177" t="s">
        <v>398</v>
      </c>
      <c r="R63" s="184" t="s">
        <v>217</v>
      </c>
      <c r="S63" s="177" t="s">
        <v>207</v>
      </c>
      <c r="T63" s="177" t="s">
        <v>234</v>
      </c>
      <c r="U63" s="178" t="s">
        <v>373</v>
      </c>
    </row>
    <row r="64" spans="1:21" ht="15" customHeight="1" x14ac:dyDescent="0.2">
      <c r="A64" s="174"/>
      <c r="B64" s="174"/>
      <c r="C64" s="174"/>
      <c r="D64" s="174"/>
      <c r="E64" s="174"/>
      <c r="F64" s="174"/>
      <c r="G64" s="174"/>
      <c r="H64" s="174"/>
      <c r="I64" s="174"/>
      <c r="J64" s="174"/>
      <c r="K64" s="174"/>
      <c r="L64" s="188" t="s">
        <v>149</v>
      </c>
      <c r="M64" s="186" t="s">
        <v>156</v>
      </c>
      <c r="N64" s="186" t="s">
        <v>158</v>
      </c>
      <c r="O64" s="186" t="s">
        <v>910</v>
      </c>
      <c r="P64" s="186" t="s">
        <v>107</v>
      </c>
      <c r="Q64" s="186" t="s">
        <v>397</v>
      </c>
      <c r="R64" s="187" t="s">
        <v>217</v>
      </c>
      <c r="S64" s="186" t="s">
        <v>207</v>
      </c>
      <c r="T64" s="186" t="s">
        <v>234</v>
      </c>
      <c r="U64" s="199" t="s">
        <v>371</v>
      </c>
    </row>
    <row r="65" spans="1:21" ht="15" customHeight="1" x14ac:dyDescent="0.2">
      <c r="A65" s="174"/>
      <c r="B65" s="174"/>
      <c r="C65" s="174"/>
      <c r="D65" s="174"/>
      <c r="E65" s="174"/>
      <c r="F65" s="174"/>
      <c r="G65" s="174"/>
      <c r="H65" s="174"/>
      <c r="I65" s="174"/>
      <c r="J65" s="174"/>
      <c r="K65" s="174"/>
      <c r="L65" s="188" t="s">
        <v>149</v>
      </c>
      <c r="M65" s="186" t="s">
        <v>913</v>
      </c>
      <c r="N65" s="186" t="s">
        <v>226</v>
      </c>
      <c r="O65" s="186" t="s">
        <v>227</v>
      </c>
      <c r="P65" s="186" t="s">
        <v>224</v>
      </c>
      <c r="Q65" s="186" t="s">
        <v>225</v>
      </c>
      <c r="R65" s="187" t="s">
        <v>213</v>
      </c>
      <c r="S65" s="186" t="s">
        <v>207</v>
      </c>
      <c r="T65" s="186" t="s">
        <v>234</v>
      </c>
      <c r="U65" s="186" t="s">
        <v>172</v>
      </c>
    </row>
    <row r="66" spans="1:21" ht="15" customHeight="1" x14ac:dyDescent="0.2">
      <c r="A66" s="174"/>
      <c r="B66" s="174"/>
      <c r="C66" s="174"/>
      <c r="D66" s="174"/>
      <c r="E66" s="174"/>
      <c r="F66" s="174"/>
      <c r="G66" s="174"/>
      <c r="H66" s="174"/>
      <c r="I66" s="174"/>
      <c r="J66" s="174"/>
      <c r="K66" s="174"/>
      <c r="L66" s="185" t="s">
        <v>149</v>
      </c>
      <c r="M66" s="177" t="s">
        <v>913</v>
      </c>
      <c r="N66" s="177" t="s">
        <v>221</v>
      </c>
      <c r="O66" s="177" t="s">
        <v>222</v>
      </c>
      <c r="P66" s="177" t="s">
        <v>224</v>
      </c>
      <c r="Q66" s="177" t="s">
        <v>225</v>
      </c>
      <c r="R66" s="184" t="s">
        <v>213</v>
      </c>
      <c r="S66" s="177" t="s">
        <v>207</v>
      </c>
      <c r="T66" s="177" t="s">
        <v>234</v>
      </c>
      <c r="U66" s="177" t="s">
        <v>172</v>
      </c>
    </row>
    <row r="67" spans="1:21" ht="15" customHeight="1" x14ac:dyDescent="0.2">
      <c r="A67" s="174"/>
      <c r="B67" s="174"/>
      <c r="C67" s="174"/>
      <c r="D67" s="174"/>
      <c r="E67" s="174"/>
      <c r="F67" s="174"/>
      <c r="G67" s="174"/>
      <c r="H67" s="174"/>
      <c r="I67" s="174"/>
      <c r="J67" s="174"/>
      <c r="K67" s="174"/>
      <c r="L67" s="185" t="s">
        <v>149</v>
      </c>
      <c r="M67" s="177" t="s">
        <v>888</v>
      </c>
      <c r="N67" s="177" t="s">
        <v>899</v>
      </c>
      <c r="O67" s="178" t="s">
        <v>887</v>
      </c>
      <c r="P67" s="177" t="s">
        <v>107</v>
      </c>
      <c r="Q67" s="177" t="s">
        <v>397</v>
      </c>
      <c r="R67" s="184" t="s">
        <v>816</v>
      </c>
      <c r="S67" s="177" t="s">
        <v>206</v>
      </c>
      <c r="T67" s="177" t="s">
        <v>232</v>
      </c>
      <c r="U67" s="177"/>
    </row>
    <row r="68" spans="1:21" ht="15" customHeight="1" x14ac:dyDescent="0.2">
      <c r="A68" s="174"/>
      <c r="B68" s="174"/>
      <c r="C68" s="174"/>
      <c r="D68" s="174"/>
      <c r="E68" s="174"/>
      <c r="F68" s="174"/>
      <c r="G68" s="174"/>
      <c r="H68" s="174"/>
      <c r="I68" s="174"/>
      <c r="J68" s="174"/>
      <c r="K68" s="174"/>
      <c r="L68" s="185" t="s">
        <v>149</v>
      </c>
      <c r="M68" s="177" t="s">
        <v>166</v>
      </c>
      <c r="N68" s="177" t="s">
        <v>171</v>
      </c>
      <c r="O68" s="177" t="s">
        <v>172</v>
      </c>
      <c r="P68" s="177" t="s">
        <v>107</v>
      </c>
      <c r="Q68" s="177" t="s">
        <v>397</v>
      </c>
      <c r="R68" s="184" t="s">
        <v>213</v>
      </c>
      <c r="S68" s="177" t="s">
        <v>214</v>
      </c>
      <c r="T68" s="177" t="s">
        <v>232</v>
      </c>
      <c r="U68" s="177" t="s">
        <v>172</v>
      </c>
    </row>
    <row r="69" spans="1:21" ht="15" customHeight="1" x14ac:dyDescent="0.2">
      <c r="A69" s="174"/>
      <c r="B69" s="174"/>
      <c r="C69" s="174"/>
      <c r="D69" s="174"/>
      <c r="E69" s="174"/>
      <c r="F69" s="174"/>
      <c r="G69" s="174"/>
      <c r="H69" s="174"/>
      <c r="I69" s="174"/>
      <c r="J69" s="174"/>
      <c r="K69" s="174"/>
      <c r="L69" s="185" t="s">
        <v>149</v>
      </c>
      <c r="M69" s="177" t="s">
        <v>166</v>
      </c>
      <c r="N69" s="177" t="s">
        <v>167</v>
      </c>
      <c r="O69" s="177" t="s">
        <v>168</v>
      </c>
      <c r="P69" s="177" t="s">
        <v>124</v>
      </c>
      <c r="Q69" s="177" t="s">
        <v>397</v>
      </c>
      <c r="R69" s="184" t="s">
        <v>213</v>
      </c>
      <c r="S69" s="177" t="s">
        <v>214</v>
      </c>
      <c r="T69" s="177" t="s">
        <v>233</v>
      </c>
      <c r="U69" s="177" t="s">
        <v>172</v>
      </c>
    </row>
    <row r="70" spans="1:21" ht="15" customHeight="1" x14ac:dyDescent="0.2">
      <c r="A70" s="174"/>
      <c r="B70" s="174"/>
      <c r="C70" s="174"/>
      <c r="D70" s="174"/>
      <c r="E70" s="174"/>
      <c r="F70" s="174"/>
      <c r="G70" s="174"/>
      <c r="H70" s="174"/>
      <c r="I70" s="174"/>
      <c r="J70" s="174"/>
      <c r="K70" s="174"/>
      <c r="L70" s="185" t="s">
        <v>149</v>
      </c>
      <c r="M70" s="177" t="s">
        <v>166</v>
      </c>
      <c r="N70" s="177" t="s">
        <v>169</v>
      </c>
      <c r="O70" s="177" t="s">
        <v>170</v>
      </c>
      <c r="P70" s="177" t="s">
        <v>124</v>
      </c>
      <c r="Q70" s="177" t="s">
        <v>397</v>
      </c>
      <c r="R70" s="184" t="s">
        <v>213</v>
      </c>
      <c r="S70" s="177" t="s">
        <v>214</v>
      </c>
      <c r="T70" s="177" t="s">
        <v>233</v>
      </c>
      <c r="U70" s="178" t="s">
        <v>362</v>
      </c>
    </row>
    <row r="71" spans="1:21" ht="15" customHeight="1" x14ac:dyDescent="0.2">
      <c r="A71" s="174"/>
      <c r="B71" s="174"/>
      <c r="C71" s="174"/>
      <c r="D71" s="174"/>
      <c r="E71" s="174"/>
      <c r="F71" s="174"/>
      <c r="G71" s="174"/>
      <c r="H71" s="174"/>
      <c r="I71" s="174"/>
      <c r="J71" s="174"/>
      <c r="K71" s="174"/>
      <c r="L71" s="185" t="s">
        <v>149</v>
      </c>
      <c r="M71" s="177" t="s">
        <v>819</v>
      </c>
      <c r="N71" s="177" t="s">
        <v>879</v>
      </c>
      <c r="O71" s="177" t="s">
        <v>825</v>
      </c>
      <c r="P71" s="177" t="s">
        <v>107</v>
      </c>
      <c r="Q71" s="177" t="s">
        <v>225</v>
      </c>
      <c r="R71" s="184" t="s">
        <v>826</v>
      </c>
      <c r="S71" s="177" t="s">
        <v>207</v>
      </c>
      <c r="T71" s="177" t="s">
        <v>817</v>
      </c>
      <c r="U71" s="177" t="s">
        <v>827</v>
      </c>
    </row>
    <row r="72" spans="1:21" ht="15" customHeight="1" x14ac:dyDescent="0.2">
      <c r="A72" s="174"/>
      <c r="B72" s="174"/>
      <c r="C72" s="174"/>
      <c r="D72" s="174"/>
      <c r="E72" s="174"/>
      <c r="F72" s="174"/>
      <c r="G72" s="174"/>
      <c r="H72" s="174"/>
      <c r="I72" s="174"/>
      <c r="J72" s="174"/>
      <c r="K72" s="174"/>
      <c r="L72" s="185" t="s">
        <v>149</v>
      </c>
      <c r="M72" s="177" t="s">
        <v>819</v>
      </c>
      <c r="N72" s="177" t="s">
        <v>880</v>
      </c>
      <c r="O72" s="177" t="s">
        <v>828</v>
      </c>
      <c r="P72" s="177" t="s">
        <v>107</v>
      </c>
      <c r="Q72" s="177" t="s">
        <v>225</v>
      </c>
      <c r="R72" s="184" t="s">
        <v>829</v>
      </c>
      <c r="S72" s="177" t="s">
        <v>207</v>
      </c>
      <c r="T72" s="177" t="s">
        <v>817</v>
      </c>
      <c r="U72" s="177" t="s">
        <v>830</v>
      </c>
    </row>
    <row r="73" spans="1:21" ht="15" customHeight="1" x14ac:dyDescent="0.2">
      <c r="A73" s="174"/>
      <c r="B73" s="174"/>
      <c r="C73" s="174"/>
      <c r="D73" s="174"/>
      <c r="E73" s="174"/>
      <c r="F73" s="174"/>
      <c r="G73" s="174"/>
      <c r="H73" s="174"/>
      <c r="I73" s="174"/>
      <c r="J73" s="174"/>
      <c r="K73" s="174"/>
      <c r="L73" s="185" t="s">
        <v>149</v>
      </c>
      <c r="M73" s="177" t="s">
        <v>819</v>
      </c>
      <c r="N73" s="177" t="s">
        <v>831</v>
      </c>
      <c r="O73" s="177" t="s">
        <v>832</v>
      </c>
      <c r="P73" s="177" t="s">
        <v>107</v>
      </c>
      <c r="Q73" s="177" t="s">
        <v>225</v>
      </c>
      <c r="R73" s="184" t="s">
        <v>829</v>
      </c>
      <c r="S73" s="177" t="s">
        <v>207</v>
      </c>
      <c r="T73" s="177" t="s">
        <v>817</v>
      </c>
      <c r="U73" s="177" t="s">
        <v>833</v>
      </c>
    </row>
    <row r="74" spans="1:21" ht="15" customHeight="1" x14ac:dyDescent="0.2">
      <c r="A74" s="174"/>
      <c r="B74" s="174"/>
      <c r="C74" s="174"/>
      <c r="D74" s="174"/>
      <c r="E74" s="174"/>
      <c r="F74" s="174"/>
      <c r="G74" s="174"/>
      <c r="H74" s="174"/>
      <c r="I74" s="174"/>
      <c r="J74" s="174"/>
      <c r="K74" s="174"/>
      <c r="L74" s="185" t="s">
        <v>149</v>
      </c>
      <c r="M74" s="177" t="s">
        <v>819</v>
      </c>
      <c r="N74" s="177" t="s">
        <v>834</v>
      </c>
      <c r="O74" s="177" t="s">
        <v>835</v>
      </c>
      <c r="P74" s="177" t="s">
        <v>107</v>
      </c>
      <c r="Q74" s="177" t="s">
        <v>225</v>
      </c>
      <c r="R74" s="184" t="s">
        <v>829</v>
      </c>
      <c r="S74" s="177" t="s">
        <v>207</v>
      </c>
      <c r="T74" s="177" t="s">
        <v>817</v>
      </c>
      <c r="U74" s="177" t="s">
        <v>836</v>
      </c>
    </row>
    <row r="75" spans="1:21" ht="15" customHeight="1" x14ac:dyDescent="0.2">
      <c r="A75" s="174"/>
      <c r="B75" s="174"/>
      <c r="C75" s="174"/>
      <c r="D75" s="174"/>
      <c r="E75" s="174"/>
      <c r="F75" s="174"/>
      <c r="G75" s="174"/>
      <c r="H75" s="174"/>
      <c r="I75" s="174"/>
      <c r="J75" s="174"/>
      <c r="K75" s="174"/>
      <c r="L75" s="185" t="s">
        <v>149</v>
      </c>
      <c r="M75" s="177" t="s">
        <v>819</v>
      </c>
      <c r="N75" s="177" t="s">
        <v>814</v>
      </c>
      <c r="O75" s="177" t="s">
        <v>815</v>
      </c>
      <c r="P75" s="177" t="s">
        <v>107</v>
      </c>
      <c r="Q75" s="177" t="s">
        <v>225</v>
      </c>
      <c r="R75" s="184" t="s">
        <v>816</v>
      </c>
      <c r="S75" s="177" t="s">
        <v>206</v>
      </c>
      <c r="T75" s="177" t="s">
        <v>817</v>
      </c>
      <c r="U75" s="177" t="s">
        <v>818</v>
      </c>
    </row>
    <row r="76" spans="1:21" ht="15" customHeight="1" x14ac:dyDescent="0.2">
      <c r="A76" s="174"/>
      <c r="B76" s="174"/>
      <c r="C76" s="174"/>
      <c r="D76" s="174"/>
      <c r="E76" s="174"/>
      <c r="F76" s="174"/>
      <c r="G76" s="174"/>
      <c r="H76" s="174"/>
      <c r="I76" s="174"/>
      <c r="J76" s="174"/>
      <c r="K76" s="174"/>
      <c r="L76" s="185" t="s">
        <v>149</v>
      </c>
      <c r="M76" s="177" t="s">
        <v>819</v>
      </c>
      <c r="N76" s="177" t="s">
        <v>323</v>
      </c>
      <c r="O76" s="177" t="s">
        <v>324</v>
      </c>
      <c r="P76" s="177" t="s">
        <v>107</v>
      </c>
      <c r="Q76" s="177" t="s">
        <v>225</v>
      </c>
      <c r="R76" s="184" t="s">
        <v>325</v>
      </c>
      <c r="S76" s="177" t="s">
        <v>213</v>
      </c>
      <c r="T76" s="177" t="s">
        <v>234</v>
      </c>
      <c r="U76" s="177" t="s">
        <v>172</v>
      </c>
    </row>
    <row r="77" spans="1:21" ht="15" customHeight="1" x14ac:dyDescent="0.2">
      <c r="A77" s="174"/>
      <c r="B77" s="174"/>
      <c r="C77" s="174"/>
      <c r="D77" s="174"/>
      <c r="E77" s="174"/>
      <c r="F77" s="174"/>
      <c r="G77" s="174"/>
      <c r="H77" s="174"/>
      <c r="I77" s="174"/>
      <c r="J77" s="174"/>
      <c r="K77" s="174"/>
      <c r="L77" s="185" t="s">
        <v>149</v>
      </c>
      <c r="M77" s="177" t="s">
        <v>819</v>
      </c>
      <c r="N77" s="177" t="s">
        <v>820</v>
      </c>
      <c r="O77" s="177" t="s">
        <v>821</v>
      </c>
      <c r="P77" s="177" t="s">
        <v>107</v>
      </c>
      <c r="Q77" s="177" t="s">
        <v>225</v>
      </c>
      <c r="R77" s="184" t="s">
        <v>816</v>
      </c>
      <c r="S77" s="177" t="s">
        <v>206</v>
      </c>
      <c r="T77" s="177" t="s">
        <v>817</v>
      </c>
      <c r="U77" s="177" t="s">
        <v>822</v>
      </c>
    </row>
    <row r="78" spans="1:21" ht="15" customHeight="1" x14ac:dyDescent="0.2">
      <c r="A78" s="174"/>
      <c r="B78" s="174"/>
      <c r="C78" s="174"/>
      <c r="D78" s="174"/>
      <c r="E78" s="174"/>
      <c r="F78" s="174"/>
      <c r="G78" s="174"/>
      <c r="H78" s="174"/>
      <c r="I78" s="174"/>
      <c r="J78" s="174"/>
      <c r="K78" s="174"/>
      <c r="L78" s="185" t="s">
        <v>149</v>
      </c>
      <c r="M78" s="177" t="s">
        <v>819</v>
      </c>
      <c r="N78" s="177" t="s">
        <v>326</v>
      </c>
      <c r="O78" s="177" t="s">
        <v>324</v>
      </c>
      <c r="P78" s="177" t="s">
        <v>107</v>
      </c>
      <c r="Q78" s="177" t="s">
        <v>225</v>
      </c>
      <c r="R78" s="184" t="s">
        <v>325</v>
      </c>
      <c r="S78" s="177" t="s">
        <v>213</v>
      </c>
      <c r="T78" s="177" t="s">
        <v>234</v>
      </c>
      <c r="U78" s="177" t="s">
        <v>172</v>
      </c>
    </row>
    <row r="79" spans="1:21" ht="15" customHeight="1" x14ac:dyDescent="0.2">
      <c r="A79" s="174"/>
      <c r="B79" s="174"/>
      <c r="C79" s="174"/>
      <c r="D79" s="174"/>
      <c r="E79" s="174"/>
      <c r="F79" s="174"/>
      <c r="G79" s="174"/>
      <c r="H79" s="174"/>
      <c r="I79" s="174"/>
      <c r="J79" s="174"/>
      <c r="K79" s="174"/>
      <c r="L79" s="185" t="s">
        <v>149</v>
      </c>
      <c r="M79" s="177" t="s">
        <v>819</v>
      </c>
      <c r="N79" s="177" t="s">
        <v>823</v>
      </c>
      <c r="O79" s="177" t="s">
        <v>821</v>
      </c>
      <c r="P79" s="177" t="s">
        <v>107</v>
      </c>
      <c r="Q79" s="177" t="s">
        <v>225</v>
      </c>
      <c r="R79" s="184" t="s">
        <v>816</v>
      </c>
      <c r="S79" s="177" t="s">
        <v>206</v>
      </c>
      <c r="T79" s="177" t="s">
        <v>817</v>
      </c>
      <c r="U79" s="177" t="s">
        <v>824</v>
      </c>
    </row>
    <row r="80" spans="1:21" ht="15" customHeight="1" x14ac:dyDescent="0.2">
      <c r="A80" s="174"/>
      <c r="B80" s="174"/>
      <c r="C80" s="174"/>
      <c r="D80" s="174"/>
      <c r="E80" s="174"/>
      <c r="F80" s="174"/>
      <c r="G80" s="174"/>
      <c r="H80" s="174"/>
      <c r="I80" s="174"/>
      <c r="J80" s="174"/>
      <c r="K80" s="174"/>
      <c r="L80" s="185" t="s">
        <v>149</v>
      </c>
      <c r="M80" s="177" t="s">
        <v>819</v>
      </c>
      <c r="N80" s="177" t="s">
        <v>327</v>
      </c>
      <c r="O80" s="177" t="s">
        <v>184</v>
      </c>
      <c r="P80" s="177" t="s">
        <v>107</v>
      </c>
      <c r="Q80" s="177" t="s">
        <v>225</v>
      </c>
      <c r="R80" s="184" t="s">
        <v>816</v>
      </c>
      <c r="S80" s="177" t="s">
        <v>206</v>
      </c>
      <c r="T80" s="177" t="s">
        <v>234</v>
      </c>
      <c r="U80" s="177" t="s">
        <v>172</v>
      </c>
    </row>
    <row r="81" spans="1:21" ht="15" customHeight="1" x14ac:dyDescent="0.2">
      <c r="A81" s="174"/>
      <c r="B81" s="174"/>
      <c r="C81" s="174"/>
      <c r="D81" s="174"/>
      <c r="E81" s="174"/>
      <c r="F81" s="174"/>
      <c r="G81" s="174"/>
      <c r="H81" s="174"/>
      <c r="I81" s="174"/>
      <c r="J81" s="174"/>
      <c r="K81" s="174"/>
      <c r="L81" s="185" t="s">
        <v>149</v>
      </c>
      <c r="M81" s="177" t="s">
        <v>819</v>
      </c>
      <c r="N81" s="177" t="s">
        <v>837</v>
      </c>
      <c r="O81" s="177" t="s">
        <v>838</v>
      </c>
      <c r="P81" s="177" t="s">
        <v>107</v>
      </c>
      <c r="Q81" s="177" t="s">
        <v>225</v>
      </c>
      <c r="R81" s="184" t="s">
        <v>829</v>
      </c>
      <c r="S81" s="177" t="s">
        <v>207</v>
      </c>
      <c r="T81" s="177" t="s">
        <v>817</v>
      </c>
      <c r="U81" s="177" t="s">
        <v>839</v>
      </c>
    </row>
    <row r="82" spans="1:21" ht="15" customHeight="1" x14ac:dyDescent="0.2">
      <c r="A82" s="174"/>
      <c r="B82" s="174"/>
      <c r="C82" s="174"/>
      <c r="D82" s="174"/>
      <c r="E82" s="174"/>
      <c r="F82" s="174"/>
      <c r="G82" s="174"/>
      <c r="H82" s="174"/>
      <c r="I82" s="174"/>
      <c r="J82" s="174"/>
      <c r="K82" s="174"/>
      <c r="L82" s="185" t="s">
        <v>149</v>
      </c>
      <c r="M82" s="177" t="s">
        <v>855</v>
      </c>
      <c r="N82" s="177" t="s">
        <v>856</v>
      </c>
      <c r="O82" s="177" t="s">
        <v>857</v>
      </c>
      <c r="P82" s="177" t="s">
        <v>107</v>
      </c>
      <c r="Q82" s="177" t="s">
        <v>397</v>
      </c>
      <c r="R82" s="184" t="s">
        <v>816</v>
      </c>
      <c r="S82" s="177" t="s">
        <v>206</v>
      </c>
      <c r="T82" s="177" t="s">
        <v>817</v>
      </c>
      <c r="U82" s="177"/>
    </row>
    <row r="83" spans="1:21" ht="15" customHeight="1" x14ac:dyDescent="0.2">
      <c r="A83" s="174"/>
      <c r="B83" s="174"/>
      <c r="C83" s="174"/>
      <c r="D83" s="174"/>
      <c r="E83" s="174"/>
      <c r="F83" s="174"/>
      <c r="G83" s="174"/>
      <c r="H83" s="174"/>
      <c r="I83" s="174"/>
      <c r="J83" s="174"/>
      <c r="K83" s="174"/>
      <c r="L83" s="185" t="s">
        <v>149</v>
      </c>
      <c r="M83" s="177" t="s">
        <v>797</v>
      </c>
      <c r="N83" s="177" t="s">
        <v>892</v>
      </c>
      <c r="O83" s="177" t="s">
        <v>893</v>
      </c>
      <c r="P83" s="177" t="s">
        <v>124</v>
      </c>
      <c r="Q83" s="177" t="s">
        <v>225</v>
      </c>
      <c r="R83" s="184" t="s">
        <v>894</v>
      </c>
      <c r="S83" s="177" t="s">
        <v>206</v>
      </c>
      <c r="T83" s="177" t="s">
        <v>817</v>
      </c>
      <c r="U83" s="177" t="s">
        <v>852</v>
      </c>
    </row>
    <row r="84" spans="1:21" ht="15" customHeight="1" x14ac:dyDescent="0.2">
      <c r="A84" s="174"/>
      <c r="B84" s="174"/>
      <c r="C84" s="174"/>
      <c r="D84" s="174"/>
      <c r="E84" s="174"/>
      <c r="F84" s="174"/>
      <c r="G84" s="174"/>
      <c r="H84" s="174"/>
      <c r="I84" s="174"/>
      <c r="J84" s="174"/>
      <c r="K84" s="174"/>
      <c r="L84" s="185" t="s">
        <v>149</v>
      </c>
      <c r="M84" s="177" t="s">
        <v>797</v>
      </c>
      <c r="N84" s="177" t="s">
        <v>890</v>
      </c>
      <c r="O84" s="177" t="s">
        <v>891</v>
      </c>
      <c r="P84" s="177" t="s">
        <v>107</v>
      </c>
      <c r="Q84" s="177" t="s">
        <v>397</v>
      </c>
      <c r="R84" s="184" t="s">
        <v>816</v>
      </c>
      <c r="S84" s="177" t="s">
        <v>206</v>
      </c>
      <c r="T84" s="177" t="s">
        <v>233</v>
      </c>
      <c r="U84" s="177"/>
    </row>
    <row r="85" spans="1:21" ht="15" customHeight="1" x14ac:dyDescent="0.2">
      <c r="A85" s="174"/>
      <c r="B85" s="174"/>
      <c r="C85" s="174"/>
      <c r="D85" s="174"/>
      <c r="E85" s="174"/>
      <c r="F85" s="174"/>
      <c r="G85" s="174"/>
      <c r="H85" s="174"/>
      <c r="I85" s="174"/>
      <c r="J85" s="174"/>
      <c r="K85" s="174"/>
      <c r="L85" s="185" t="s">
        <v>149</v>
      </c>
      <c r="M85" s="177" t="s">
        <v>797</v>
      </c>
      <c r="N85" s="177" t="s">
        <v>895</v>
      </c>
      <c r="O85" s="177" t="s">
        <v>896</v>
      </c>
      <c r="P85" s="177" t="s">
        <v>107</v>
      </c>
      <c r="Q85" s="177" t="s">
        <v>397</v>
      </c>
      <c r="R85" s="184" t="s">
        <v>816</v>
      </c>
      <c r="S85" s="177" t="s">
        <v>206</v>
      </c>
      <c r="T85" s="177" t="s">
        <v>233</v>
      </c>
      <c r="U85" s="177"/>
    </row>
    <row r="86" spans="1:21" ht="15" customHeight="1" x14ac:dyDescent="0.2">
      <c r="A86" s="174"/>
      <c r="B86" s="174"/>
      <c r="C86" s="174"/>
      <c r="D86" s="174"/>
      <c r="E86" s="174"/>
      <c r="F86" s="174"/>
      <c r="G86" s="174"/>
      <c r="H86" s="174"/>
      <c r="I86" s="174"/>
      <c r="J86" s="174"/>
      <c r="K86" s="174"/>
      <c r="L86" s="185" t="s">
        <v>149</v>
      </c>
      <c r="M86" s="177" t="s">
        <v>797</v>
      </c>
      <c r="N86" s="177" t="s">
        <v>853</v>
      </c>
      <c r="O86" s="177" t="s">
        <v>889</v>
      </c>
      <c r="P86" s="177" t="s">
        <v>124</v>
      </c>
      <c r="Q86" s="177" t="s">
        <v>225</v>
      </c>
      <c r="R86" s="184" t="s">
        <v>816</v>
      </c>
      <c r="S86" s="177" t="s">
        <v>206</v>
      </c>
      <c r="T86" s="177" t="s">
        <v>842</v>
      </c>
      <c r="U86" s="177"/>
    </row>
    <row r="87" spans="1:21" ht="15" customHeight="1" x14ac:dyDescent="0.2">
      <c r="A87" s="174"/>
      <c r="B87" s="174"/>
      <c r="C87" s="174"/>
      <c r="D87" s="174"/>
      <c r="E87" s="174"/>
      <c r="F87" s="174"/>
      <c r="G87" s="174"/>
      <c r="H87" s="174"/>
      <c r="I87" s="174"/>
      <c r="J87" s="174"/>
      <c r="K87" s="174"/>
      <c r="L87" s="185" t="s">
        <v>149</v>
      </c>
      <c r="M87" s="177" t="s">
        <v>797</v>
      </c>
      <c r="N87" s="177" t="s">
        <v>854</v>
      </c>
      <c r="O87" s="177" t="s">
        <v>881</v>
      </c>
      <c r="P87" s="177" t="s">
        <v>124</v>
      </c>
      <c r="Q87" s="177" t="s">
        <v>225</v>
      </c>
      <c r="R87" s="184" t="s">
        <v>816</v>
      </c>
      <c r="S87" s="177" t="s">
        <v>206</v>
      </c>
      <c r="T87" s="177" t="s">
        <v>172</v>
      </c>
      <c r="U87" s="177"/>
    </row>
    <row r="88" spans="1:21" ht="15" customHeight="1" x14ac:dyDescent="0.2">
      <c r="A88" s="174"/>
      <c r="B88" s="174"/>
      <c r="C88" s="174"/>
      <c r="D88" s="174"/>
      <c r="E88" s="174"/>
      <c r="F88" s="174"/>
      <c r="G88" s="174"/>
      <c r="H88" s="174"/>
      <c r="I88" s="174"/>
      <c r="J88" s="174"/>
      <c r="K88" s="174"/>
      <c r="L88" s="185" t="s">
        <v>149</v>
      </c>
      <c r="M88" s="177" t="s">
        <v>797</v>
      </c>
      <c r="N88" s="177" t="s">
        <v>163</v>
      </c>
      <c r="O88" s="178" t="s">
        <v>374</v>
      </c>
      <c r="P88" s="177" t="s">
        <v>124</v>
      </c>
      <c r="Q88" s="177" t="s">
        <v>398</v>
      </c>
      <c r="R88" s="184" t="s">
        <v>816</v>
      </c>
      <c r="S88" s="177" t="s">
        <v>206</v>
      </c>
      <c r="T88" s="177" t="s">
        <v>232</v>
      </c>
      <c r="U88" s="178" t="s">
        <v>375</v>
      </c>
    </row>
    <row r="89" spans="1:21" ht="15" customHeight="1" x14ac:dyDescent="0.2">
      <c r="A89" s="174"/>
      <c r="B89" s="174"/>
      <c r="C89" s="174"/>
      <c r="D89" s="174"/>
      <c r="E89" s="174"/>
      <c r="F89" s="174"/>
      <c r="G89" s="174"/>
      <c r="H89" s="174"/>
      <c r="I89" s="174"/>
      <c r="J89" s="174"/>
      <c r="K89" s="174"/>
      <c r="L89" s="185" t="s">
        <v>149</v>
      </c>
      <c r="M89" s="177" t="s">
        <v>797</v>
      </c>
      <c r="N89" s="177" t="s">
        <v>164</v>
      </c>
      <c r="O89" s="178" t="s">
        <v>378</v>
      </c>
      <c r="P89" s="177" t="s">
        <v>107</v>
      </c>
      <c r="Q89" s="177" t="s">
        <v>397</v>
      </c>
      <c r="R89" s="184" t="s">
        <v>816</v>
      </c>
      <c r="S89" s="177" t="s">
        <v>206</v>
      </c>
      <c r="T89" s="177" t="s">
        <v>232</v>
      </c>
      <c r="U89" s="178" t="s">
        <v>376</v>
      </c>
    </row>
    <row r="90" spans="1:21" ht="15" customHeight="1" x14ac:dyDescent="0.2">
      <c r="A90" s="174"/>
      <c r="B90" s="174"/>
      <c r="C90" s="174"/>
      <c r="D90" s="174"/>
      <c r="E90" s="174"/>
      <c r="F90" s="174"/>
      <c r="G90" s="174"/>
      <c r="H90" s="174"/>
      <c r="I90" s="174"/>
      <c r="J90" s="174"/>
      <c r="K90" s="174"/>
      <c r="L90" s="185" t="s">
        <v>149</v>
      </c>
      <c r="M90" s="177" t="s">
        <v>797</v>
      </c>
      <c r="N90" s="177" t="s">
        <v>165</v>
      </c>
      <c r="O90" s="178" t="s">
        <v>379</v>
      </c>
      <c r="P90" s="177" t="s">
        <v>124</v>
      </c>
      <c r="Q90" s="177" t="s">
        <v>398</v>
      </c>
      <c r="R90" s="184" t="s">
        <v>816</v>
      </c>
      <c r="S90" s="177" t="s">
        <v>206</v>
      </c>
      <c r="T90" s="177" t="s">
        <v>232</v>
      </c>
      <c r="U90" s="178" t="s">
        <v>377</v>
      </c>
    </row>
    <row r="91" spans="1:21" ht="15" customHeight="1" x14ac:dyDescent="0.2">
      <c r="A91" s="174"/>
      <c r="B91" s="174"/>
      <c r="C91" s="174"/>
      <c r="D91" s="174"/>
      <c r="E91" s="174"/>
      <c r="F91" s="174"/>
      <c r="G91" s="174"/>
      <c r="H91" s="174"/>
      <c r="I91" s="174"/>
      <c r="J91" s="174"/>
      <c r="K91" s="174"/>
      <c r="L91" s="185" t="s">
        <v>149</v>
      </c>
      <c r="M91" s="177" t="s">
        <v>797</v>
      </c>
      <c r="N91" s="177" t="s">
        <v>798</v>
      </c>
      <c r="O91" s="177" t="s">
        <v>799</v>
      </c>
      <c r="P91" s="177" t="s">
        <v>107</v>
      </c>
      <c r="Q91" s="177" t="s">
        <v>397</v>
      </c>
      <c r="R91" s="184" t="s">
        <v>816</v>
      </c>
      <c r="S91" s="177" t="s">
        <v>206</v>
      </c>
      <c r="T91" s="177" t="s">
        <v>234</v>
      </c>
      <c r="U91" s="177"/>
    </row>
    <row r="92" spans="1:21" ht="15" customHeight="1" x14ac:dyDescent="0.2">
      <c r="A92" s="174"/>
      <c r="B92" s="174"/>
      <c r="C92" s="174"/>
      <c r="D92" s="174"/>
      <c r="E92" s="174"/>
      <c r="F92" s="174"/>
      <c r="G92" s="174"/>
      <c r="H92" s="174"/>
      <c r="I92" s="174"/>
      <c r="J92" s="174"/>
      <c r="K92" s="174"/>
      <c r="L92" s="188" t="s">
        <v>149</v>
      </c>
      <c r="M92" s="177" t="s">
        <v>858</v>
      </c>
      <c r="N92" s="186" t="s">
        <v>922</v>
      </c>
      <c r="O92" s="186" t="s">
        <v>812</v>
      </c>
      <c r="P92" s="186" t="s">
        <v>107</v>
      </c>
      <c r="Q92" s="186" t="s">
        <v>397</v>
      </c>
      <c r="R92" s="187" t="s">
        <v>816</v>
      </c>
      <c r="S92" s="186" t="s">
        <v>206</v>
      </c>
      <c r="T92" s="186" t="s">
        <v>232</v>
      </c>
      <c r="U92" s="186"/>
    </row>
    <row r="93" spans="1:21" ht="15" customHeight="1" x14ac:dyDescent="0.2">
      <c r="A93" s="174"/>
      <c r="B93" s="174"/>
      <c r="C93" s="174"/>
      <c r="D93" s="174"/>
      <c r="E93" s="174"/>
      <c r="F93" s="174"/>
      <c r="G93" s="174"/>
      <c r="H93" s="174"/>
      <c r="I93" s="174"/>
      <c r="J93" s="174"/>
      <c r="K93" s="174"/>
      <c r="L93" s="188" t="s">
        <v>149</v>
      </c>
      <c r="M93" s="177" t="s">
        <v>858</v>
      </c>
      <c r="N93" s="177" t="s">
        <v>863</v>
      </c>
      <c r="O93" s="186" t="s">
        <v>864</v>
      </c>
      <c r="P93" s="186" t="s">
        <v>107</v>
      </c>
      <c r="Q93" s="186" t="s">
        <v>225</v>
      </c>
      <c r="R93" s="187" t="s">
        <v>816</v>
      </c>
      <c r="S93" s="177" t="s">
        <v>206</v>
      </c>
      <c r="T93" s="186" t="s">
        <v>842</v>
      </c>
      <c r="U93" s="186"/>
    </row>
    <row r="94" spans="1:21" ht="15" customHeight="1" x14ac:dyDescent="0.2">
      <c r="A94" s="174"/>
      <c r="B94" s="174"/>
      <c r="C94" s="174"/>
      <c r="D94" s="174"/>
      <c r="E94" s="174"/>
      <c r="F94" s="174"/>
      <c r="G94" s="174"/>
      <c r="H94" s="174"/>
      <c r="I94" s="174"/>
      <c r="J94" s="174"/>
      <c r="K94" s="174"/>
      <c r="L94" s="188" t="s">
        <v>149</v>
      </c>
      <c r="M94" s="177" t="s">
        <v>858</v>
      </c>
      <c r="N94" s="177" t="s">
        <v>861</v>
      </c>
      <c r="O94" s="177" t="s">
        <v>862</v>
      </c>
      <c r="P94" s="177" t="s">
        <v>107</v>
      </c>
      <c r="Q94" s="177" t="s">
        <v>225</v>
      </c>
      <c r="R94" s="184" t="s">
        <v>816</v>
      </c>
      <c r="S94" s="177" t="s">
        <v>206</v>
      </c>
      <c r="T94" s="177" t="s">
        <v>842</v>
      </c>
      <c r="U94" s="177"/>
    </row>
    <row r="95" spans="1:21" ht="15" customHeight="1" x14ac:dyDescent="0.2">
      <c r="A95" s="174"/>
      <c r="B95" s="174"/>
      <c r="C95" s="174"/>
      <c r="D95" s="174"/>
      <c r="E95" s="174"/>
      <c r="F95" s="174"/>
      <c r="G95" s="174"/>
      <c r="H95" s="174"/>
      <c r="I95" s="174"/>
      <c r="J95" s="174"/>
      <c r="K95" s="174"/>
      <c r="L95" s="188" t="s">
        <v>149</v>
      </c>
      <c r="M95" s="186" t="s">
        <v>858</v>
      </c>
      <c r="N95" s="186" t="s">
        <v>859</v>
      </c>
      <c r="O95" s="186" t="s">
        <v>860</v>
      </c>
      <c r="P95" s="186" t="s">
        <v>107</v>
      </c>
      <c r="Q95" s="186" t="s">
        <v>225</v>
      </c>
      <c r="R95" s="187" t="s">
        <v>816</v>
      </c>
      <c r="S95" s="177" t="s">
        <v>206</v>
      </c>
      <c r="T95" s="186" t="s">
        <v>842</v>
      </c>
      <c r="U95" s="186"/>
    </row>
    <row r="96" spans="1:21" ht="15" customHeight="1" x14ac:dyDescent="0.2">
      <c r="A96" s="174"/>
      <c r="B96" s="174"/>
      <c r="C96" s="174"/>
      <c r="D96" s="174"/>
      <c r="E96" s="174"/>
      <c r="F96" s="174"/>
      <c r="G96" s="174"/>
      <c r="H96" s="174"/>
      <c r="I96" s="174"/>
      <c r="J96" s="174"/>
      <c r="K96" s="174"/>
      <c r="L96" s="188" t="s">
        <v>149</v>
      </c>
      <c r="M96" s="186" t="s">
        <v>865</v>
      </c>
      <c r="N96" s="186" t="s">
        <v>877</v>
      </c>
      <c r="O96" s="186" t="s">
        <v>878</v>
      </c>
      <c r="P96" s="186" t="s">
        <v>107</v>
      </c>
      <c r="Q96" s="186" t="s">
        <v>225</v>
      </c>
      <c r="R96" s="187" t="s">
        <v>816</v>
      </c>
      <c r="S96" s="177" t="s">
        <v>206</v>
      </c>
      <c r="T96" s="186" t="s">
        <v>817</v>
      </c>
      <c r="U96" s="186"/>
    </row>
    <row r="97" spans="1:21" ht="15" customHeight="1" x14ac:dyDescent="0.2">
      <c r="A97" s="174"/>
      <c r="B97" s="174"/>
      <c r="C97" s="174"/>
      <c r="D97" s="174"/>
      <c r="E97" s="174"/>
      <c r="F97" s="174"/>
      <c r="G97" s="174"/>
      <c r="H97" s="174"/>
      <c r="I97" s="174"/>
      <c r="J97" s="174"/>
      <c r="K97" s="174"/>
      <c r="L97" s="188" t="s">
        <v>149</v>
      </c>
      <c r="M97" s="186" t="s">
        <v>865</v>
      </c>
      <c r="N97" s="186" t="s">
        <v>875</v>
      </c>
      <c r="O97" s="186" t="s">
        <v>876</v>
      </c>
      <c r="P97" s="186" t="s">
        <v>107</v>
      </c>
      <c r="Q97" s="186" t="s">
        <v>225</v>
      </c>
      <c r="R97" s="187" t="s">
        <v>816</v>
      </c>
      <c r="S97" s="177" t="s">
        <v>206</v>
      </c>
      <c r="T97" s="186" t="s">
        <v>817</v>
      </c>
      <c r="U97" s="186"/>
    </row>
    <row r="98" spans="1:21" ht="15" customHeight="1" x14ac:dyDescent="0.2">
      <c r="A98" s="174"/>
      <c r="B98" s="174"/>
      <c r="C98" s="174"/>
      <c r="D98" s="174" t="s">
        <v>180</v>
      </c>
      <c r="E98" s="174"/>
      <c r="F98" s="174"/>
      <c r="G98" s="174"/>
      <c r="H98" s="174"/>
      <c r="I98" s="174"/>
      <c r="J98" s="174"/>
      <c r="K98" s="174"/>
      <c r="L98" s="188" t="s">
        <v>149</v>
      </c>
      <c r="M98" s="186" t="s">
        <v>865</v>
      </c>
      <c r="N98" s="186" t="s">
        <v>874</v>
      </c>
      <c r="O98" s="186" t="s">
        <v>882</v>
      </c>
      <c r="P98" s="186" t="s">
        <v>107</v>
      </c>
      <c r="Q98" s="186" t="s">
        <v>225</v>
      </c>
      <c r="R98" s="187" t="s">
        <v>218</v>
      </c>
      <c r="S98" s="177" t="s">
        <v>206</v>
      </c>
      <c r="T98" s="186" t="s">
        <v>842</v>
      </c>
      <c r="U98" s="186"/>
    </row>
    <row r="99" spans="1:21" ht="15" customHeight="1" x14ac:dyDescent="0.2">
      <c r="D99" s="6" t="s">
        <v>179</v>
      </c>
      <c r="L99" s="188" t="s">
        <v>149</v>
      </c>
      <c r="M99" s="177" t="s">
        <v>865</v>
      </c>
      <c r="N99" s="186" t="s">
        <v>870</v>
      </c>
      <c r="O99" s="186" t="s">
        <v>871</v>
      </c>
      <c r="P99" s="186" t="s">
        <v>124</v>
      </c>
      <c r="Q99" s="177" t="s">
        <v>225</v>
      </c>
      <c r="R99" s="187" t="s">
        <v>213</v>
      </c>
      <c r="S99" s="177" t="s">
        <v>206</v>
      </c>
      <c r="T99" s="186" t="s">
        <v>172</v>
      </c>
      <c r="U99" s="186"/>
    </row>
    <row r="100" spans="1:21" ht="15" customHeight="1" x14ac:dyDescent="0.2">
      <c r="D100" s="6" t="s">
        <v>178</v>
      </c>
      <c r="L100" s="188" t="s">
        <v>149</v>
      </c>
      <c r="M100" s="186" t="s">
        <v>865</v>
      </c>
      <c r="N100" s="186" t="s">
        <v>868</v>
      </c>
      <c r="O100" s="186" t="s">
        <v>869</v>
      </c>
      <c r="P100" s="186" t="s">
        <v>124</v>
      </c>
      <c r="Q100" s="177" t="s">
        <v>225</v>
      </c>
      <c r="R100" s="187" t="s">
        <v>213</v>
      </c>
      <c r="S100" s="177" t="s">
        <v>206</v>
      </c>
      <c r="T100" s="186" t="s">
        <v>172</v>
      </c>
      <c r="U100" s="186"/>
    </row>
    <row r="101" spans="1:21" ht="15" customHeight="1" x14ac:dyDescent="0.2">
      <c r="D101" s="6" t="s">
        <v>177</v>
      </c>
      <c r="L101" s="188" t="s">
        <v>149</v>
      </c>
      <c r="M101" s="186" t="s">
        <v>865</v>
      </c>
      <c r="N101" s="186" t="s">
        <v>228</v>
      </c>
      <c r="O101" s="186" t="s">
        <v>229</v>
      </c>
      <c r="P101" s="177" t="s">
        <v>107</v>
      </c>
      <c r="Q101" s="177" t="s">
        <v>225</v>
      </c>
      <c r="R101" s="184" t="s">
        <v>213</v>
      </c>
      <c r="S101" s="177" t="s">
        <v>207</v>
      </c>
      <c r="T101" s="177" t="s">
        <v>232</v>
      </c>
      <c r="U101" s="177" t="s">
        <v>172</v>
      </c>
    </row>
    <row r="102" spans="1:21" ht="15" customHeight="1" x14ac:dyDescent="0.2">
      <c r="L102" s="188" t="s">
        <v>149</v>
      </c>
      <c r="M102" s="186" t="s">
        <v>865</v>
      </c>
      <c r="N102" s="186" t="s">
        <v>872</v>
      </c>
      <c r="O102" s="186" t="s">
        <v>873</v>
      </c>
      <c r="P102" s="177" t="s">
        <v>107</v>
      </c>
      <c r="Q102" s="177" t="s">
        <v>225</v>
      </c>
      <c r="R102" s="184" t="s">
        <v>816</v>
      </c>
      <c r="S102" s="177" t="s">
        <v>206</v>
      </c>
      <c r="T102" s="177" t="s">
        <v>842</v>
      </c>
      <c r="U102" s="177"/>
    </row>
    <row r="103" spans="1:21" ht="15" customHeight="1" x14ac:dyDescent="0.2">
      <c r="L103" s="188" t="s">
        <v>149</v>
      </c>
      <c r="M103" s="186" t="s">
        <v>865</v>
      </c>
      <c r="N103" s="186" t="s">
        <v>866</v>
      </c>
      <c r="O103" s="186" t="s">
        <v>867</v>
      </c>
      <c r="P103" s="186" t="s">
        <v>124</v>
      </c>
      <c r="Q103" s="186" t="s">
        <v>225</v>
      </c>
      <c r="R103" s="187" t="s">
        <v>213</v>
      </c>
      <c r="S103" s="186" t="s">
        <v>214</v>
      </c>
      <c r="T103" s="186" t="s">
        <v>172</v>
      </c>
      <c r="U103" s="186"/>
    </row>
    <row r="104" spans="1:21" ht="15" customHeight="1" x14ac:dyDescent="0.2">
      <c r="L104" s="188" t="s">
        <v>149</v>
      </c>
      <c r="M104" s="186" t="s">
        <v>150</v>
      </c>
      <c r="N104" s="186" t="s">
        <v>914</v>
      </c>
      <c r="O104" s="186" t="s">
        <v>380</v>
      </c>
      <c r="P104" s="186" t="s">
        <v>107</v>
      </c>
      <c r="Q104" s="186" t="s">
        <v>397</v>
      </c>
      <c r="R104" s="187" t="s">
        <v>816</v>
      </c>
      <c r="S104" s="186" t="s">
        <v>206</v>
      </c>
      <c r="T104" s="186" t="s">
        <v>232</v>
      </c>
      <c r="U104" s="199" t="s">
        <v>381</v>
      </c>
    </row>
    <row r="105" spans="1:21" ht="15" customHeight="1" x14ac:dyDescent="0.2">
      <c r="L105" s="188" t="s">
        <v>149</v>
      </c>
      <c r="M105" s="186" t="s">
        <v>150</v>
      </c>
      <c r="N105" s="210" t="s">
        <v>898</v>
      </c>
      <c r="O105" s="177" t="s">
        <v>886</v>
      </c>
      <c r="P105" s="177" t="s">
        <v>107</v>
      </c>
      <c r="Q105" s="177" t="s">
        <v>397</v>
      </c>
      <c r="R105" s="184" t="s">
        <v>816</v>
      </c>
      <c r="S105" s="177" t="s">
        <v>206</v>
      </c>
      <c r="T105" s="177" t="s">
        <v>232</v>
      </c>
      <c r="U105" s="177"/>
    </row>
  </sheetData>
  <sortState xmlns:xlrd2="http://schemas.microsoft.com/office/spreadsheetml/2017/richdata2" ref="E3:G21">
    <sortCondition ref="E3"/>
  </sortState>
  <dataValidations count="1">
    <dataValidation type="list" allowBlank="1" showInputMessage="1" showErrorMessage="1" sqref="T82:T93 T81:U81 T101:T103 T3:T80 T105" xr:uid="{00000000-0002-0000-0600-000000000000}">
      <formula1>"Larger the Better, Smaller the Better, Moderate the Best"</formula1>
    </dataValidation>
  </dataValidations>
  <hyperlinks>
    <hyperlink ref="O55" r:id="rId1" display="https://kquest.kpit.com/kquest/projects/katapult/knowledgebase/articles/2082" xr:uid="{BE4E13D5-77C2-4A17-A7AB-CE6D92D0D0AD}"/>
  </hyperlinks>
  <pageMargins left="0.7" right="0.7" top="0.75" bottom="0.75" header="0.3" footer="0.3"/>
  <pageSetup orientation="portrait" r:id="rId2"/>
  <tableParts count="3">
    <tablePart r:id="rId3"/>
    <tablePart r:id="rId4"/>
    <tablePart r:id="rId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outlinePr summaryBelow="0" summaryRight="0"/>
  </sheetPr>
  <dimension ref="A3:Z234"/>
  <sheetViews>
    <sheetView topLeftCell="A12" zoomScale="70" zoomScaleNormal="70" workbookViewId="0">
      <pane xSplit="4" ySplit="3" topLeftCell="J15" activePane="bottomRight" state="frozen"/>
      <selection activeCell="A12" sqref="A12"/>
      <selection pane="topRight" activeCell="E12" sqref="E12"/>
      <selection pane="bottomLeft" activeCell="A15" sqref="A15"/>
      <selection pane="bottomRight" activeCell="C22" sqref="C22"/>
    </sheetView>
  </sheetViews>
  <sheetFormatPr defaultRowHeight="15" outlineLevelRow="1" x14ac:dyDescent="0.25"/>
  <cols>
    <col min="1" max="1" width="8.21875" customWidth="1"/>
    <col min="2" max="2" width="23.6640625" customWidth="1"/>
    <col min="3" max="3" width="20.5546875" customWidth="1"/>
    <col min="4" max="4" width="34" customWidth="1"/>
    <col min="5" max="14" width="13.109375" style="77" customWidth="1"/>
    <col min="15" max="26" width="13.109375" customWidth="1"/>
  </cols>
  <sheetData>
    <row r="3" spans="1:26" ht="21" customHeight="1" collapsed="1" x14ac:dyDescent="0.25">
      <c r="B3" s="220" t="s">
        <v>612</v>
      </c>
      <c r="C3" s="220"/>
      <c r="D3" s="220"/>
      <c r="E3" s="220"/>
      <c r="F3" s="220"/>
      <c r="G3" s="220"/>
      <c r="H3" s="220"/>
      <c r="I3" s="220"/>
      <c r="J3" s="220"/>
      <c r="K3" s="220"/>
      <c r="L3" s="220"/>
      <c r="M3" s="220"/>
      <c r="N3" s="220"/>
      <c r="O3" s="220"/>
      <c r="P3" s="220"/>
      <c r="Q3" s="220"/>
      <c r="R3" s="220"/>
    </row>
    <row r="4" spans="1:26" ht="18.75" hidden="1" customHeight="1" outlineLevel="1" x14ac:dyDescent="0.3">
      <c r="D4" s="56" t="s">
        <v>613</v>
      </c>
      <c r="E4" s="56" t="s">
        <v>614</v>
      </c>
      <c r="F4" s="56" t="s">
        <v>615</v>
      </c>
      <c r="G4" s="57" t="s">
        <v>616</v>
      </c>
      <c r="H4" s="58" t="s">
        <v>617</v>
      </c>
      <c r="I4" s="58" t="s">
        <v>618</v>
      </c>
      <c r="J4" s="58" t="s">
        <v>619</v>
      </c>
      <c r="K4" s="58" t="s">
        <v>620</v>
      </c>
      <c r="L4" s="58" t="s">
        <v>621</v>
      </c>
      <c r="M4" s="58" t="s">
        <v>622</v>
      </c>
      <c r="N4" s="58" t="s">
        <v>623</v>
      </c>
      <c r="O4" s="58" t="s">
        <v>624</v>
      </c>
      <c r="P4" s="58" t="s">
        <v>624</v>
      </c>
      <c r="Q4" s="59" t="s">
        <v>625</v>
      </c>
    </row>
    <row r="5" spans="1:26" ht="105.75" hidden="1" customHeight="1" outlineLevel="1" x14ac:dyDescent="0.3">
      <c r="B5" s="60" t="s">
        <v>626</v>
      </c>
      <c r="C5" s="60"/>
      <c r="D5" s="61" t="s">
        <v>627</v>
      </c>
      <c r="E5" s="61" t="s">
        <v>628</v>
      </c>
      <c r="F5" s="61" t="s">
        <v>629</v>
      </c>
      <c r="G5" s="61" t="s">
        <v>630</v>
      </c>
      <c r="H5" s="268" t="s">
        <v>631</v>
      </c>
      <c r="I5" s="269" t="s">
        <v>632</v>
      </c>
      <c r="J5" s="62" t="s">
        <v>633</v>
      </c>
      <c r="K5" s="62" t="s">
        <v>634</v>
      </c>
      <c r="L5" s="269" t="s">
        <v>635</v>
      </c>
      <c r="M5" s="270" t="s">
        <v>636</v>
      </c>
      <c r="N5" s="270" t="s">
        <v>637</v>
      </c>
      <c r="O5" s="270" t="s">
        <v>638</v>
      </c>
      <c r="P5" s="270" t="s">
        <v>638</v>
      </c>
      <c r="Q5" s="271"/>
    </row>
    <row r="6" spans="1:26" ht="24" hidden="1" customHeight="1" outlineLevel="1" x14ac:dyDescent="0.3">
      <c r="B6" s="60"/>
      <c r="C6" s="60"/>
      <c r="D6" s="61"/>
      <c r="E6" s="61"/>
      <c r="F6" s="61"/>
      <c r="G6" s="61"/>
      <c r="H6" s="268"/>
      <c r="I6" s="269"/>
      <c r="J6" s="62" t="s">
        <v>639</v>
      </c>
      <c r="K6" s="62" t="s">
        <v>640</v>
      </c>
      <c r="L6" s="269"/>
      <c r="M6" s="270"/>
      <c r="N6" s="270"/>
      <c r="O6" s="270"/>
      <c r="P6" s="270"/>
      <c r="Q6" s="271"/>
    </row>
    <row r="7" spans="1:26" ht="24" hidden="1" customHeight="1" outlineLevel="1" x14ac:dyDescent="0.3">
      <c r="B7" s="60" t="s">
        <v>2</v>
      </c>
      <c r="C7" s="60"/>
      <c r="D7" s="61"/>
      <c r="E7" s="61"/>
      <c r="F7" s="61"/>
      <c r="G7" s="61" t="s">
        <v>641</v>
      </c>
      <c r="H7" s="63" t="s">
        <v>642</v>
      </c>
      <c r="I7" s="64" t="s">
        <v>643</v>
      </c>
      <c r="J7" s="65"/>
      <c r="K7" s="65"/>
      <c r="L7" s="65"/>
      <c r="M7" s="66"/>
      <c r="N7" s="66"/>
      <c r="O7" s="66"/>
      <c r="P7" s="66"/>
      <c r="Q7" s="67"/>
    </row>
    <row r="8" spans="1:26" ht="24" hidden="1" customHeight="1" outlineLevel="1" x14ac:dyDescent="0.3">
      <c r="B8" s="60" t="s">
        <v>14</v>
      </c>
      <c r="C8" s="60"/>
      <c r="D8" s="68" t="s">
        <v>627</v>
      </c>
      <c r="E8" s="68" t="s">
        <v>644</v>
      </c>
      <c r="F8" s="68" t="s">
        <v>645</v>
      </c>
      <c r="G8" s="68" t="s">
        <v>646</v>
      </c>
      <c r="H8" s="69" t="s">
        <v>647</v>
      </c>
      <c r="I8" s="70" t="s">
        <v>648</v>
      </c>
      <c r="J8" s="70" t="s">
        <v>649</v>
      </c>
      <c r="K8" s="71" t="s">
        <v>650</v>
      </c>
      <c r="L8" s="72" t="s">
        <v>651</v>
      </c>
      <c r="M8" s="66" t="s">
        <v>652</v>
      </c>
      <c r="N8" s="66"/>
      <c r="O8" s="66"/>
      <c r="P8" s="66"/>
      <c r="Q8" s="67"/>
    </row>
    <row r="9" spans="1:26" ht="24" hidden="1" customHeight="1" outlineLevel="1" x14ac:dyDescent="0.3">
      <c r="B9" s="60" t="s">
        <v>653</v>
      </c>
      <c r="C9" s="60"/>
      <c r="D9" s="1"/>
      <c r="E9" s="1"/>
      <c r="F9" s="1"/>
      <c r="G9" s="1"/>
      <c r="H9" s="64" t="s">
        <v>654</v>
      </c>
      <c r="I9" s="64" t="s">
        <v>655</v>
      </c>
      <c r="J9" s="64" t="s">
        <v>656</v>
      </c>
      <c r="K9" s="64" t="s">
        <v>657</v>
      </c>
      <c r="L9" s="64" t="s">
        <v>658</v>
      </c>
      <c r="M9" s="66"/>
      <c r="N9" s="66"/>
      <c r="O9" s="66"/>
      <c r="P9" s="66"/>
      <c r="Q9" s="67"/>
    </row>
    <row r="10" spans="1:26" ht="24" hidden="1" customHeight="1" outlineLevel="1" x14ac:dyDescent="0.3">
      <c r="B10" s="60" t="s">
        <v>659</v>
      </c>
      <c r="C10" s="60"/>
      <c r="D10" s="1"/>
      <c r="E10" s="1"/>
      <c r="F10" s="1"/>
      <c r="G10" s="1"/>
      <c r="H10" s="73" t="s">
        <v>660</v>
      </c>
      <c r="I10" s="73" t="s">
        <v>661</v>
      </c>
      <c r="J10" s="73" t="s">
        <v>662</v>
      </c>
      <c r="K10" s="74" t="s">
        <v>663</v>
      </c>
      <c r="L10" s="75" t="s">
        <v>664</v>
      </c>
      <c r="M10" s="76" t="s">
        <v>665</v>
      </c>
      <c r="N10" s="76" t="s">
        <v>666</v>
      </c>
      <c r="O10" s="76" t="s">
        <v>667</v>
      </c>
      <c r="P10" s="76" t="s">
        <v>667</v>
      </c>
      <c r="Q10" s="67" t="s">
        <v>668</v>
      </c>
    </row>
    <row r="11" spans="1:26" ht="24" customHeight="1" x14ac:dyDescent="0.25">
      <c r="F11" s="267"/>
      <c r="G11" s="267"/>
      <c r="H11" s="267"/>
      <c r="I11" s="267"/>
    </row>
    <row r="12" spans="1:26" ht="21" customHeight="1" x14ac:dyDescent="0.25">
      <c r="B12" s="78" t="s">
        <v>669</v>
      </c>
      <c r="C12" s="78"/>
      <c r="D12" s="78"/>
      <c r="E12" s="79" t="s">
        <v>670</v>
      </c>
      <c r="F12" s="78"/>
      <c r="G12" s="78"/>
      <c r="H12" s="79" t="s">
        <v>671</v>
      </c>
      <c r="I12" s="78"/>
      <c r="J12" s="78"/>
      <c r="K12" s="79" t="s">
        <v>672</v>
      </c>
      <c r="L12" s="78"/>
      <c r="M12" s="78"/>
      <c r="N12" s="78"/>
      <c r="O12" s="78"/>
      <c r="P12" s="78"/>
      <c r="Q12" s="78"/>
      <c r="R12" s="78"/>
      <c r="S12" s="78"/>
      <c r="T12" s="78"/>
      <c r="U12" s="78"/>
      <c r="V12" s="78"/>
      <c r="W12" s="78"/>
      <c r="X12" s="78"/>
      <c r="Y12" s="78"/>
      <c r="Z12" s="78"/>
    </row>
    <row r="13" spans="1:26" ht="18" customHeight="1" x14ac:dyDescent="0.25">
      <c r="B13" s="80"/>
      <c r="C13" s="80"/>
      <c r="D13" s="80"/>
      <c r="E13" s="81"/>
      <c r="F13" s="81"/>
      <c r="G13" s="81"/>
      <c r="H13" s="81"/>
      <c r="I13" s="81"/>
      <c r="J13" s="82"/>
      <c r="K13" s="82"/>
      <c r="L13" s="82"/>
      <c r="M13" s="82"/>
      <c r="N13" s="82"/>
      <c r="O13" s="83"/>
      <c r="P13" s="83"/>
      <c r="Q13" s="83"/>
      <c r="R13" s="83"/>
      <c r="S13" s="84"/>
      <c r="T13" s="84"/>
      <c r="U13" s="85"/>
      <c r="V13" s="86"/>
      <c r="W13" s="87"/>
      <c r="X13" s="88"/>
      <c r="Y13" s="89"/>
      <c r="Z13" s="89"/>
    </row>
    <row r="14" spans="1:26" ht="45" x14ac:dyDescent="0.25">
      <c r="B14" s="90" t="s">
        <v>7</v>
      </c>
      <c r="C14" s="90" t="s">
        <v>773</v>
      </c>
      <c r="D14" s="90" t="s">
        <v>8</v>
      </c>
      <c r="E14" s="81" t="s">
        <v>674</v>
      </c>
      <c r="F14" s="81" t="s">
        <v>675</v>
      </c>
      <c r="G14" s="81" t="s">
        <v>676</v>
      </c>
      <c r="H14" s="81" t="s">
        <v>677</v>
      </c>
      <c r="I14" s="81" t="s">
        <v>678</v>
      </c>
      <c r="J14" s="82" t="s">
        <v>679</v>
      </c>
      <c r="K14" s="82" t="s">
        <v>680</v>
      </c>
      <c r="L14" s="82" t="s">
        <v>681</v>
      </c>
      <c r="M14" s="82" t="s">
        <v>682</v>
      </c>
      <c r="N14" s="82" t="s">
        <v>683</v>
      </c>
      <c r="O14" s="83" t="s">
        <v>793</v>
      </c>
      <c r="P14" s="83" t="s">
        <v>684</v>
      </c>
      <c r="Q14" s="83" t="s">
        <v>685</v>
      </c>
      <c r="R14" s="83" t="s">
        <v>686</v>
      </c>
      <c r="S14" s="85" t="s">
        <v>791</v>
      </c>
      <c r="T14" s="85" t="s">
        <v>792</v>
      </c>
      <c r="U14" s="85" t="s">
        <v>687</v>
      </c>
      <c r="V14" s="86" t="s">
        <v>688</v>
      </c>
      <c r="W14" s="88" t="s">
        <v>689</v>
      </c>
      <c r="X14" s="88" t="s">
        <v>690</v>
      </c>
      <c r="Y14" s="89" t="s">
        <v>691</v>
      </c>
      <c r="Z14" s="89" t="s">
        <v>692</v>
      </c>
    </row>
    <row r="15" spans="1:26" ht="15" customHeight="1" x14ac:dyDescent="0.25">
      <c r="A15" s="122" t="s">
        <v>9</v>
      </c>
      <c r="B15" s="91" t="s">
        <v>10</v>
      </c>
      <c r="C15" s="91"/>
      <c r="D15" s="91"/>
      <c r="E15" s="92"/>
      <c r="F15" s="92"/>
      <c r="G15" s="92"/>
      <c r="H15" s="92"/>
      <c r="I15" s="92"/>
      <c r="J15" s="92"/>
      <c r="K15" s="92"/>
      <c r="L15" s="92"/>
      <c r="M15" s="92"/>
      <c r="N15" s="92"/>
      <c r="O15" s="92"/>
      <c r="P15" s="92"/>
      <c r="Q15" s="92"/>
      <c r="R15" s="92"/>
      <c r="S15" s="92"/>
      <c r="T15" s="92"/>
      <c r="U15" s="92"/>
      <c r="V15" s="92"/>
      <c r="W15" s="92"/>
      <c r="X15" s="92"/>
      <c r="Y15" s="92"/>
      <c r="Z15" s="92"/>
    </row>
    <row r="16" spans="1:26" ht="15" customHeight="1" x14ac:dyDescent="0.25">
      <c r="A16" s="122"/>
      <c r="B16" s="91"/>
      <c r="C16" s="91" t="s">
        <v>699</v>
      </c>
      <c r="D16" s="91" t="s">
        <v>11</v>
      </c>
      <c r="E16" s="92">
        <v>2</v>
      </c>
      <c r="F16" s="92">
        <v>2</v>
      </c>
      <c r="G16" s="92">
        <v>2</v>
      </c>
      <c r="H16" s="92">
        <v>3</v>
      </c>
      <c r="I16" s="92">
        <v>3</v>
      </c>
      <c r="J16" s="92">
        <v>1</v>
      </c>
      <c r="K16" s="92">
        <v>1</v>
      </c>
      <c r="L16" s="92">
        <v>2</v>
      </c>
      <c r="M16" s="92">
        <v>2</v>
      </c>
      <c r="N16" s="92">
        <v>2</v>
      </c>
      <c r="O16" s="93">
        <v>3</v>
      </c>
      <c r="P16" s="93">
        <v>3</v>
      </c>
      <c r="Q16" s="93">
        <v>3</v>
      </c>
      <c r="R16" s="93">
        <v>3</v>
      </c>
      <c r="S16" s="92">
        <v>1</v>
      </c>
      <c r="T16" s="92">
        <v>1</v>
      </c>
      <c r="U16" s="92">
        <v>1</v>
      </c>
      <c r="V16" s="92">
        <v>1</v>
      </c>
      <c r="W16" s="95">
        <v>2</v>
      </c>
      <c r="X16" s="95">
        <v>2</v>
      </c>
      <c r="Y16" s="93">
        <v>3</v>
      </c>
      <c r="Z16" s="93">
        <v>3</v>
      </c>
    </row>
    <row r="17" spans="1:26" ht="15" customHeight="1" x14ac:dyDescent="0.25">
      <c r="A17" s="122"/>
      <c r="B17" s="91"/>
      <c r="C17" s="91"/>
      <c r="D17" s="91" t="s">
        <v>700</v>
      </c>
      <c r="E17" s="92">
        <v>2</v>
      </c>
      <c r="F17" s="92">
        <v>2</v>
      </c>
      <c r="G17" s="92">
        <v>2</v>
      </c>
      <c r="H17" s="92">
        <v>3</v>
      </c>
      <c r="I17" s="92">
        <v>3</v>
      </c>
      <c r="J17" s="92"/>
      <c r="K17" s="92"/>
      <c r="L17" s="92"/>
      <c r="M17" s="92"/>
      <c r="N17" s="92"/>
      <c r="O17" s="93">
        <v>3</v>
      </c>
      <c r="P17" s="93">
        <v>3</v>
      </c>
      <c r="Q17" s="93">
        <v>3</v>
      </c>
      <c r="R17" s="93">
        <v>3</v>
      </c>
      <c r="S17" s="92">
        <v>1</v>
      </c>
      <c r="T17" s="92">
        <v>1</v>
      </c>
      <c r="U17" s="92">
        <v>1</v>
      </c>
      <c r="V17" s="92">
        <v>1</v>
      </c>
      <c r="W17" s="95">
        <v>2</v>
      </c>
      <c r="X17" s="95">
        <v>2</v>
      </c>
      <c r="Y17" s="93">
        <v>3</v>
      </c>
      <c r="Z17" s="93">
        <v>3</v>
      </c>
    </row>
    <row r="18" spans="1:26" ht="15" customHeight="1" x14ac:dyDescent="0.25">
      <c r="A18" s="122"/>
      <c r="B18" s="91"/>
      <c r="C18" s="91"/>
      <c r="D18" s="91" t="s">
        <v>701</v>
      </c>
      <c r="E18" s="92">
        <v>2</v>
      </c>
      <c r="F18" s="92">
        <v>2</v>
      </c>
      <c r="G18" s="92">
        <v>2</v>
      </c>
      <c r="H18" s="92">
        <v>3</v>
      </c>
      <c r="I18" s="92">
        <v>3</v>
      </c>
      <c r="J18" s="92"/>
      <c r="K18" s="92"/>
      <c r="L18" s="92"/>
      <c r="M18" s="92"/>
      <c r="N18" s="92"/>
      <c r="O18" s="93">
        <v>3</v>
      </c>
      <c r="P18" s="93">
        <v>3</v>
      </c>
      <c r="Q18" s="93">
        <v>3</v>
      </c>
      <c r="R18" s="93">
        <v>3</v>
      </c>
      <c r="S18" s="93">
        <v>1</v>
      </c>
      <c r="T18" s="93">
        <v>1</v>
      </c>
      <c r="U18" s="93">
        <v>1</v>
      </c>
      <c r="V18" s="93">
        <v>1</v>
      </c>
      <c r="W18" s="95">
        <v>2</v>
      </c>
      <c r="X18" s="95">
        <v>2</v>
      </c>
      <c r="Y18" s="93">
        <v>3</v>
      </c>
      <c r="Z18" s="93">
        <v>3</v>
      </c>
    </row>
    <row r="19" spans="1:26" ht="15" customHeight="1" x14ac:dyDescent="0.25">
      <c r="A19" s="122"/>
      <c r="B19" s="91"/>
      <c r="C19" s="91"/>
      <c r="D19" s="91" t="s">
        <v>702</v>
      </c>
      <c r="E19" s="92">
        <v>2</v>
      </c>
      <c r="F19" s="92">
        <v>2</v>
      </c>
      <c r="G19" s="92">
        <v>2</v>
      </c>
      <c r="H19" s="92">
        <v>3</v>
      </c>
      <c r="I19" s="92">
        <v>3</v>
      </c>
      <c r="J19" s="92"/>
      <c r="K19" s="92"/>
      <c r="L19" s="92"/>
      <c r="M19" s="92"/>
      <c r="N19" s="92"/>
      <c r="O19" s="93">
        <v>3</v>
      </c>
      <c r="P19" s="93">
        <v>3</v>
      </c>
      <c r="Q19" s="93">
        <v>3</v>
      </c>
      <c r="R19" s="93">
        <v>3</v>
      </c>
      <c r="S19" s="93">
        <v>1</v>
      </c>
      <c r="T19" s="93">
        <v>1</v>
      </c>
      <c r="U19" s="93">
        <v>1</v>
      </c>
      <c r="V19" s="93">
        <v>1</v>
      </c>
      <c r="W19" s="95">
        <v>2</v>
      </c>
      <c r="X19" s="95">
        <v>2</v>
      </c>
      <c r="Y19" s="93">
        <v>3</v>
      </c>
      <c r="Z19" s="93">
        <v>3</v>
      </c>
    </row>
    <row r="20" spans="1:26" ht="15" customHeight="1" x14ac:dyDescent="0.25">
      <c r="A20" s="122"/>
      <c r="B20" s="91"/>
      <c r="C20" s="91"/>
      <c r="D20" s="94" t="s">
        <v>703</v>
      </c>
      <c r="E20" s="92">
        <v>2</v>
      </c>
      <c r="F20" s="92">
        <v>2</v>
      </c>
      <c r="G20" s="92">
        <v>2</v>
      </c>
      <c r="H20" s="92">
        <v>3</v>
      </c>
      <c r="I20" s="92">
        <v>3</v>
      </c>
      <c r="J20" s="92"/>
      <c r="K20" s="92"/>
      <c r="L20" s="92"/>
      <c r="M20" s="92"/>
      <c r="N20" s="92"/>
      <c r="O20" s="93">
        <v>3</v>
      </c>
      <c r="P20" s="93">
        <v>3</v>
      </c>
      <c r="Q20" s="93">
        <v>3</v>
      </c>
      <c r="R20" s="93">
        <v>3</v>
      </c>
      <c r="S20" s="93">
        <v>1</v>
      </c>
      <c r="T20" s="93">
        <v>1</v>
      </c>
      <c r="U20" s="93">
        <v>1</v>
      </c>
      <c r="V20" s="93">
        <v>1</v>
      </c>
      <c r="W20" s="95">
        <v>2</v>
      </c>
      <c r="X20" s="95">
        <v>2</v>
      </c>
      <c r="Y20" s="93">
        <v>3</v>
      </c>
      <c r="Z20" s="93">
        <v>3</v>
      </c>
    </row>
    <row r="21" spans="1:26" ht="15" customHeight="1" x14ac:dyDescent="0.25">
      <c r="A21" s="122"/>
      <c r="B21" s="91"/>
      <c r="C21" s="91" t="s">
        <v>704</v>
      </c>
      <c r="D21" s="94" t="s">
        <v>705</v>
      </c>
      <c r="E21" s="92">
        <v>1</v>
      </c>
      <c r="F21" s="92">
        <v>2</v>
      </c>
      <c r="G21" s="92">
        <v>2</v>
      </c>
      <c r="H21" s="92">
        <v>3</v>
      </c>
      <c r="I21" s="92">
        <v>3</v>
      </c>
      <c r="J21" s="92">
        <v>1</v>
      </c>
      <c r="K21" s="92">
        <v>2</v>
      </c>
      <c r="L21" s="92">
        <v>2</v>
      </c>
      <c r="M21" s="92">
        <v>3</v>
      </c>
      <c r="N21" s="92">
        <v>3</v>
      </c>
      <c r="O21" s="93">
        <v>3</v>
      </c>
      <c r="P21" s="93">
        <v>3</v>
      </c>
      <c r="Q21" s="93">
        <v>3</v>
      </c>
      <c r="R21" s="93">
        <v>3</v>
      </c>
      <c r="S21" s="93">
        <v>1</v>
      </c>
      <c r="T21" s="93">
        <v>1</v>
      </c>
      <c r="U21" s="93">
        <v>1</v>
      </c>
      <c r="V21" s="93">
        <v>1</v>
      </c>
      <c r="W21" s="95">
        <v>2</v>
      </c>
      <c r="X21" s="95">
        <v>2</v>
      </c>
      <c r="Y21" s="93">
        <v>3</v>
      </c>
      <c r="Z21" s="93">
        <v>3</v>
      </c>
    </row>
    <row r="22" spans="1:26" ht="15" customHeight="1" x14ac:dyDescent="0.25">
      <c r="A22" s="122"/>
      <c r="B22" s="91"/>
      <c r="C22" s="91"/>
      <c r="D22" s="94" t="s">
        <v>706</v>
      </c>
      <c r="E22" s="92">
        <v>1</v>
      </c>
      <c r="F22" s="92">
        <v>2</v>
      </c>
      <c r="G22" s="92">
        <v>2</v>
      </c>
      <c r="H22" s="92">
        <v>3</v>
      </c>
      <c r="I22" s="92">
        <v>3</v>
      </c>
      <c r="J22" s="92">
        <v>1</v>
      </c>
      <c r="K22" s="92">
        <v>2</v>
      </c>
      <c r="L22" s="92">
        <v>2</v>
      </c>
      <c r="M22" s="92">
        <v>3</v>
      </c>
      <c r="N22" s="92">
        <v>3</v>
      </c>
      <c r="O22" s="93">
        <v>3</v>
      </c>
      <c r="P22" s="93">
        <v>3</v>
      </c>
      <c r="Q22" s="93">
        <v>3</v>
      </c>
      <c r="R22" s="93">
        <v>3</v>
      </c>
      <c r="S22" s="93">
        <v>1</v>
      </c>
      <c r="T22" s="93">
        <v>1</v>
      </c>
      <c r="U22" s="93">
        <v>1</v>
      </c>
      <c r="V22" s="93">
        <v>1</v>
      </c>
      <c r="W22" s="95">
        <v>2</v>
      </c>
      <c r="X22" s="95">
        <v>2</v>
      </c>
      <c r="Y22" s="93">
        <v>3</v>
      </c>
      <c r="Z22" s="93">
        <v>3</v>
      </c>
    </row>
    <row r="23" spans="1:26" ht="15" customHeight="1" x14ac:dyDescent="0.25">
      <c r="A23" s="122"/>
      <c r="B23" s="91"/>
      <c r="C23" s="91"/>
      <c r="D23" s="94" t="s">
        <v>707</v>
      </c>
      <c r="E23" s="92">
        <v>1</v>
      </c>
      <c r="F23" s="92">
        <v>2</v>
      </c>
      <c r="G23" s="92">
        <v>2</v>
      </c>
      <c r="H23" s="92">
        <v>3</v>
      </c>
      <c r="I23" s="92">
        <v>3</v>
      </c>
      <c r="J23" s="92">
        <v>1</v>
      </c>
      <c r="K23" s="92">
        <v>2</v>
      </c>
      <c r="L23" s="92">
        <v>2</v>
      </c>
      <c r="M23" s="92">
        <v>3</v>
      </c>
      <c r="N23" s="92">
        <v>3</v>
      </c>
      <c r="O23" s="93">
        <v>3</v>
      </c>
      <c r="P23" s="93">
        <v>3</v>
      </c>
      <c r="Q23" s="93">
        <v>3</v>
      </c>
      <c r="R23" s="93">
        <v>3</v>
      </c>
      <c r="S23" s="93">
        <v>1</v>
      </c>
      <c r="T23" s="93">
        <v>1</v>
      </c>
      <c r="U23" s="93">
        <v>1</v>
      </c>
      <c r="V23" s="93">
        <v>1</v>
      </c>
      <c r="W23" s="95">
        <v>2</v>
      </c>
      <c r="X23" s="95">
        <v>2</v>
      </c>
      <c r="Y23" s="93">
        <v>3</v>
      </c>
      <c r="Z23" s="93">
        <v>3</v>
      </c>
    </row>
    <row r="24" spans="1:26" ht="15" customHeight="1" x14ac:dyDescent="0.25">
      <c r="A24" s="122"/>
      <c r="B24" s="91"/>
      <c r="C24" s="91"/>
      <c r="D24" s="94" t="s">
        <v>708</v>
      </c>
      <c r="E24" s="92">
        <v>1</v>
      </c>
      <c r="F24" s="92">
        <v>2</v>
      </c>
      <c r="G24" s="92">
        <v>2</v>
      </c>
      <c r="H24" s="92">
        <v>3</v>
      </c>
      <c r="I24" s="92">
        <v>3</v>
      </c>
      <c r="J24" s="92">
        <v>1</v>
      </c>
      <c r="K24" s="92">
        <v>2</v>
      </c>
      <c r="L24" s="92">
        <v>2</v>
      </c>
      <c r="M24" s="92">
        <v>3</v>
      </c>
      <c r="N24" s="92">
        <v>3</v>
      </c>
      <c r="O24" s="93">
        <v>3</v>
      </c>
      <c r="P24" s="93">
        <v>3</v>
      </c>
      <c r="Q24" s="93">
        <v>3</v>
      </c>
      <c r="R24" s="93">
        <v>3</v>
      </c>
      <c r="S24" s="93">
        <v>1</v>
      </c>
      <c r="T24" s="93">
        <v>1</v>
      </c>
      <c r="U24" s="93">
        <v>1</v>
      </c>
      <c r="V24" s="93">
        <v>1</v>
      </c>
      <c r="W24" s="95">
        <v>2</v>
      </c>
      <c r="X24" s="95">
        <v>2</v>
      </c>
      <c r="Y24" s="93">
        <v>3</v>
      </c>
      <c r="Z24" s="93">
        <v>3</v>
      </c>
    </row>
    <row r="25" spans="1:26" ht="15" customHeight="1" x14ac:dyDescent="0.25">
      <c r="A25" s="122"/>
      <c r="B25" s="91"/>
      <c r="C25" s="91"/>
      <c r="D25" s="94" t="s">
        <v>709</v>
      </c>
      <c r="E25" s="92">
        <v>1</v>
      </c>
      <c r="F25" s="92">
        <v>2</v>
      </c>
      <c r="G25" s="92">
        <v>2</v>
      </c>
      <c r="H25" s="92">
        <v>3</v>
      </c>
      <c r="I25" s="92">
        <v>3</v>
      </c>
      <c r="J25" s="92"/>
      <c r="K25" s="92"/>
      <c r="L25" s="92"/>
      <c r="M25" s="92"/>
      <c r="N25" s="92"/>
      <c r="O25" s="93"/>
      <c r="P25" s="93"/>
      <c r="Q25" s="93"/>
      <c r="R25" s="93"/>
      <c r="S25" s="93"/>
      <c r="T25" s="93"/>
      <c r="U25" s="93"/>
      <c r="V25" s="93"/>
      <c r="W25" s="95"/>
      <c r="X25" s="95"/>
      <c r="Y25" s="93"/>
      <c r="Z25" s="93"/>
    </row>
    <row r="26" spans="1:26" ht="15" customHeight="1" x14ac:dyDescent="0.25">
      <c r="A26" s="122"/>
      <c r="B26" s="91"/>
      <c r="C26" s="91" t="s">
        <v>710</v>
      </c>
      <c r="D26" s="94" t="s">
        <v>711</v>
      </c>
      <c r="E26" s="92">
        <v>1</v>
      </c>
      <c r="F26" s="92">
        <v>2</v>
      </c>
      <c r="G26" s="92">
        <v>2</v>
      </c>
      <c r="H26" s="92">
        <v>3</v>
      </c>
      <c r="I26" s="92">
        <v>3</v>
      </c>
      <c r="J26" s="92"/>
      <c r="K26" s="92"/>
      <c r="L26" s="92">
        <v>1</v>
      </c>
      <c r="M26" s="92">
        <v>1</v>
      </c>
      <c r="N26" s="92">
        <v>1</v>
      </c>
      <c r="O26" s="93">
        <v>3</v>
      </c>
      <c r="P26" s="93">
        <v>3</v>
      </c>
      <c r="Q26" s="93">
        <v>3</v>
      </c>
      <c r="R26" s="93">
        <v>3</v>
      </c>
      <c r="S26" s="93">
        <v>2</v>
      </c>
      <c r="T26" s="93">
        <v>2</v>
      </c>
      <c r="U26" s="93">
        <v>2</v>
      </c>
      <c r="V26" s="93">
        <v>2</v>
      </c>
      <c r="W26" s="95">
        <v>2</v>
      </c>
      <c r="X26" s="95">
        <v>2</v>
      </c>
      <c r="Y26" s="93">
        <v>3</v>
      </c>
      <c r="Z26" s="93">
        <v>3</v>
      </c>
    </row>
    <row r="27" spans="1:26" ht="15" customHeight="1" x14ac:dyDescent="0.25">
      <c r="A27" s="122"/>
      <c r="B27" s="91"/>
      <c r="C27" s="91"/>
      <c r="D27" s="94" t="s">
        <v>712</v>
      </c>
      <c r="E27" s="92">
        <v>1</v>
      </c>
      <c r="F27" s="92">
        <v>1</v>
      </c>
      <c r="G27" s="92">
        <v>2</v>
      </c>
      <c r="H27" s="92">
        <v>3</v>
      </c>
      <c r="I27" s="92">
        <v>3</v>
      </c>
      <c r="J27" s="92">
        <v>1</v>
      </c>
      <c r="K27" s="92">
        <v>1</v>
      </c>
      <c r="L27" s="92">
        <v>1</v>
      </c>
      <c r="M27" s="92">
        <v>1</v>
      </c>
      <c r="N27" s="92">
        <v>1</v>
      </c>
      <c r="O27" s="93">
        <v>3</v>
      </c>
      <c r="P27" s="93">
        <v>3</v>
      </c>
      <c r="Q27" s="93">
        <v>3</v>
      </c>
      <c r="R27" s="93">
        <v>3</v>
      </c>
      <c r="S27" s="93">
        <v>2</v>
      </c>
      <c r="T27" s="93">
        <v>2</v>
      </c>
      <c r="U27" s="93">
        <v>2</v>
      </c>
      <c r="V27" s="93">
        <v>2</v>
      </c>
      <c r="W27" s="95">
        <v>2</v>
      </c>
      <c r="X27" s="95">
        <v>2</v>
      </c>
      <c r="Y27" s="93">
        <v>3</v>
      </c>
      <c r="Z27" s="93">
        <v>3</v>
      </c>
    </row>
    <row r="28" spans="1:26" ht="15" customHeight="1" x14ac:dyDescent="0.25">
      <c r="A28" s="122"/>
      <c r="B28" s="91"/>
      <c r="C28" s="91"/>
      <c r="D28" s="94" t="s">
        <v>419</v>
      </c>
      <c r="E28" s="92">
        <v>1</v>
      </c>
      <c r="F28" s="92">
        <v>2</v>
      </c>
      <c r="G28" s="92">
        <v>2</v>
      </c>
      <c r="H28" s="92">
        <v>3</v>
      </c>
      <c r="I28" s="92">
        <v>3</v>
      </c>
      <c r="J28" s="92"/>
      <c r="K28" s="92"/>
      <c r="L28" s="92"/>
      <c r="M28" s="92"/>
      <c r="N28" s="92"/>
      <c r="O28" s="93">
        <v>3</v>
      </c>
      <c r="P28" s="93">
        <v>3</v>
      </c>
      <c r="Q28" s="93">
        <v>3</v>
      </c>
      <c r="R28" s="93">
        <v>3</v>
      </c>
      <c r="S28" s="93">
        <v>2</v>
      </c>
      <c r="T28" s="93">
        <v>2</v>
      </c>
      <c r="U28" s="93">
        <v>2</v>
      </c>
      <c r="V28" s="93">
        <v>2</v>
      </c>
      <c r="W28" s="95">
        <v>2</v>
      </c>
      <c r="X28" s="95">
        <v>2</v>
      </c>
      <c r="Y28" s="93">
        <v>3</v>
      </c>
      <c r="Z28" s="93">
        <v>3</v>
      </c>
    </row>
    <row r="29" spans="1:26" ht="15" customHeight="1" x14ac:dyDescent="0.25">
      <c r="A29" s="122"/>
      <c r="B29" s="91"/>
      <c r="C29" s="91"/>
      <c r="D29" s="94" t="s">
        <v>713</v>
      </c>
      <c r="E29" s="92"/>
      <c r="F29" s="92"/>
      <c r="G29" s="92">
        <v>1</v>
      </c>
      <c r="H29" s="92">
        <v>2</v>
      </c>
      <c r="I29" s="92">
        <v>2</v>
      </c>
      <c r="J29" s="92"/>
      <c r="K29" s="92"/>
      <c r="L29" s="92"/>
      <c r="M29" s="92"/>
      <c r="N29" s="92"/>
      <c r="O29" s="93">
        <v>3</v>
      </c>
      <c r="P29" s="93">
        <v>3</v>
      </c>
      <c r="Q29" s="93">
        <v>3</v>
      </c>
      <c r="R29" s="93">
        <v>3</v>
      </c>
      <c r="S29" s="93">
        <v>2</v>
      </c>
      <c r="T29" s="93">
        <v>2</v>
      </c>
      <c r="U29" s="93">
        <v>2</v>
      </c>
      <c r="V29" s="93">
        <v>2</v>
      </c>
      <c r="W29" s="95"/>
      <c r="X29" s="95"/>
      <c r="Y29" s="93"/>
      <c r="Z29" s="93"/>
    </row>
    <row r="30" spans="1:26" ht="15" customHeight="1" x14ac:dyDescent="0.25">
      <c r="A30" s="122"/>
      <c r="B30" s="91"/>
      <c r="C30" s="91"/>
      <c r="D30" s="94" t="s">
        <v>714</v>
      </c>
      <c r="E30" s="92"/>
      <c r="F30" s="92">
        <v>1</v>
      </c>
      <c r="G30" s="92">
        <v>2</v>
      </c>
      <c r="H30" s="92">
        <v>3</v>
      </c>
      <c r="I30" s="92">
        <v>3</v>
      </c>
      <c r="J30" s="92"/>
      <c r="K30" s="92"/>
      <c r="L30" s="92"/>
      <c r="M30" s="92"/>
      <c r="N30" s="92"/>
      <c r="O30" s="93">
        <v>3</v>
      </c>
      <c r="P30" s="93">
        <v>3</v>
      </c>
      <c r="Q30" s="93">
        <v>3</v>
      </c>
      <c r="R30" s="93">
        <v>3</v>
      </c>
      <c r="S30" s="93">
        <v>2</v>
      </c>
      <c r="T30" s="93">
        <v>2</v>
      </c>
      <c r="U30" s="93">
        <v>2</v>
      </c>
      <c r="V30" s="93">
        <v>2</v>
      </c>
      <c r="W30" s="95">
        <v>2</v>
      </c>
      <c r="X30" s="95">
        <v>2</v>
      </c>
      <c r="Y30" s="93">
        <v>3</v>
      </c>
      <c r="Z30" s="93">
        <v>3</v>
      </c>
    </row>
    <row r="31" spans="1:26" ht="15" customHeight="1" x14ac:dyDescent="0.25">
      <c r="A31" s="122"/>
      <c r="B31" s="91"/>
      <c r="C31" s="91"/>
      <c r="D31" s="91" t="s">
        <v>258</v>
      </c>
      <c r="E31" s="92">
        <v>1</v>
      </c>
      <c r="F31" s="92">
        <v>1</v>
      </c>
      <c r="G31" s="92">
        <v>2</v>
      </c>
      <c r="H31" s="92">
        <v>3</v>
      </c>
      <c r="I31" s="92">
        <v>3</v>
      </c>
      <c r="J31" s="92">
        <v>1</v>
      </c>
      <c r="K31" s="92"/>
      <c r="L31" s="92"/>
      <c r="M31" s="92"/>
      <c r="N31" s="92"/>
      <c r="O31" s="93">
        <v>3</v>
      </c>
      <c r="P31" s="93">
        <v>3</v>
      </c>
      <c r="Q31" s="93">
        <v>3</v>
      </c>
      <c r="R31" s="93">
        <v>3</v>
      </c>
      <c r="S31" s="93">
        <v>2</v>
      </c>
      <c r="T31" s="93">
        <v>2</v>
      </c>
      <c r="U31" s="93">
        <v>2</v>
      </c>
      <c r="V31" s="93">
        <v>2</v>
      </c>
      <c r="W31" s="95">
        <v>2</v>
      </c>
      <c r="X31" s="95">
        <v>2</v>
      </c>
      <c r="Y31" s="93">
        <v>3</v>
      </c>
      <c r="Z31" s="93">
        <v>3</v>
      </c>
    </row>
    <row r="32" spans="1:26" ht="15" customHeight="1" x14ac:dyDescent="0.25">
      <c r="A32" s="122"/>
      <c r="B32" s="91"/>
      <c r="C32" s="91"/>
      <c r="D32" s="91" t="s">
        <v>715</v>
      </c>
      <c r="E32" s="92">
        <v>1</v>
      </c>
      <c r="F32" s="92">
        <v>1</v>
      </c>
      <c r="G32" s="92">
        <v>1</v>
      </c>
      <c r="H32" s="92">
        <v>2</v>
      </c>
      <c r="I32" s="92">
        <v>2</v>
      </c>
      <c r="J32" s="92"/>
      <c r="K32" s="92">
        <v>1</v>
      </c>
      <c r="L32" s="92">
        <v>1</v>
      </c>
      <c r="M32" s="92">
        <v>2</v>
      </c>
      <c r="N32" s="92">
        <v>2</v>
      </c>
      <c r="O32" s="93">
        <v>3</v>
      </c>
      <c r="P32" s="93">
        <v>3</v>
      </c>
      <c r="Q32" s="93">
        <v>3</v>
      </c>
      <c r="R32" s="93">
        <v>3</v>
      </c>
      <c r="S32" s="93">
        <v>1</v>
      </c>
      <c r="T32" s="93">
        <v>1</v>
      </c>
      <c r="U32" s="93">
        <v>1</v>
      </c>
      <c r="V32" s="93">
        <v>1</v>
      </c>
      <c r="W32" s="95">
        <v>1</v>
      </c>
      <c r="X32" s="95">
        <v>1</v>
      </c>
      <c r="Y32" s="93">
        <v>3</v>
      </c>
      <c r="Z32" s="93">
        <v>3</v>
      </c>
    </row>
    <row r="33" spans="1:26" x14ac:dyDescent="0.25">
      <c r="A33" s="122"/>
      <c r="B33" s="91"/>
      <c r="C33" s="91" t="s">
        <v>716</v>
      </c>
      <c r="D33" s="91" t="s">
        <v>271</v>
      </c>
      <c r="E33" s="92">
        <v>1</v>
      </c>
      <c r="F33" s="92">
        <v>1</v>
      </c>
      <c r="G33" s="92">
        <v>2</v>
      </c>
      <c r="H33" s="92">
        <v>3</v>
      </c>
      <c r="I33" s="92">
        <v>3</v>
      </c>
      <c r="J33" s="92"/>
      <c r="K33" s="92"/>
      <c r="L33" s="92"/>
      <c r="M33" s="92"/>
      <c r="N33" s="92"/>
      <c r="O33" s="92">
        <v>3</v>
      </c>
      <c r="P33" s="92">
        <v>3</v>
      </c>
      <c r="Q33" s="92">
        <v>3</v>
      </c>
      <c r="R33" s="92">
        <v>3</v>
      </c>
      <c r="S33" s="92">
        <v>2</v>
      </c>
      <c r="T33" s="92">
        <v>2</v>
      </c>
      <c r="U33" s="92">
        <v>2</v>
      </c>
      <c r="V33" s="92">
        <v>2</v>
      </c>
      <c r="W33" s="95">
        <v>2</v>
      </c>
      <c r="X33" s="95">
        <v>2</v>
      </c>
      <c r="Y33" s="92">
        <v>3</v>
      </c>
      <c r="Z33" s="92">
        <v>3</v>
      </c>
    </row>
    <row r="34" spans="1:26" ht="15" customHeight="1" x14ac:dyDescent="0.25">
      <c r="A34" s="122"/>
      <c r="B34" s="91"/>
      <c r="C34" s="91"/>
      <c r="D34" s="91" t="s">
        <v>272</v>
      </c>
      <c r="E34" s="92">
        <v>1</v>
      </c>
      <c r="F34" s="92">
        <v>1</v>
      </c>
      <c r="G34" s="92">
        <v>2</v>
      </c>
      <c r="H34" s="92">
        <v>3</v>
      </c>
      <c r="I34" s="92">
        <v>3</v>
      </c>
      <c r="J34" s="92"/>
      <c r="K34" s="92"/>
      <c r="L34" s="92"/>
      <c r="M34" s="92"/>
      <c r="N34" s="92"/>
      <c r="O34" s="93">
        <v>3</v>
      </c>
      <c r="P34" s="93">
        <v>3</v>
      </c>
      <c r="Q34" s="93">
        <v>3</v>
      </c>
      <c r="R34" s="93">
        <v>3</v>
      </c>
      <c r="S34" s="93">
        <v>2</v>
      </c>
      <c r="T34" s="93">
        <v>2</v>
      </c>
      <c r="U34" s="93">
        <v>2</v>
      </c>
      <c r="V34" s="93">
        <v>2</v>
      </c>
      <c r="W34" s="95">
        <v>2</v>
      </c>
      <c r="X34" s="95">
        <v>2</v>
      </c>
      <c r="Y34" s="93">
        <v>3</v>
      </c>
      <c r="Z34" s="93">
        <v>3</v>
      </c>
    </row>
    <row r="35" spans="1:26" ht="15" customHeight="1" x14ac:dyDescent="0.25">
      <c r="A35" s="122"/>
      <c r="B35" s="91"/>
      <c r="C35" s="91" t="s">
        <v>717</v>
      </c>
      <c r="D35" s="91" t="s">
        <v>12</v>
      </c>
      <c r="E35" s="92"/>
      <c r="F35" s="92">
        <v>1</v>
      </c>
      <c r="G35" s="92">
        <v>2</v>
      </c>
      <c r="H35" s="92">
        <v>3</v>
      </c>
      <c r="I35" s="92">
        <v>3</v>
      </c>
      <c r="J35" s="92">
        <v>1</v>
      </c>
      <c r="K35" s="92">
        <v>1</v>
      </c>
      <c r="L35" s="92">
        <v>1</v>
      </c>
      <c r="M35" s="92">
        <v>1</v>
      </c>
      <c r="N35" s="92">
        <v>1</v>
      </c>
      <c r="O35" s="93">
        <v>3</v>
      </c>
      <c r="P35" s="93">
        <v>3</v>
      </c>
      <c r="Q35" s="93">
        <v>3</v>
      </c>
      <c r="R35" s="93">
        <v>3</v>
      </c>
      <c r="S35" s="93">
        <v>2</v>
      </c>
      <c r="T35" s="93">
        <v>2</v>
      </c>
      <c r="U35" s="93">
        <v>2</v>
      </c>
      <c r="V35" s="93">
        <v>2</v>
      </c>
      <c r="W35" s="95">
        <v>2</v>
      </c>
      <c r="X35" s="95">
        <v>2</v>
      </c>
      <c r="Y35" s="93">
        <v>3</v>
      </c>
      <c r="Z35" s="93">
        <v>3</v>
      </c>
    </row>
    <row r="36" spans="1:26" ht="15" customHeight="1" x14ac:dyDescent="0.25">
      <c r="A36" s="122"/>
      <c r="B36" s="91"/>
      <c r="C36" s="91"/>
      <c r="D36" s="91" t="s">
        <v>13</v>
      </c>
      <c r="E36" s="92"/>
      <c r="F36" s="92"/>
      <c r="G36" s="92">
        <v>1</v>
      </c>
      <c r="H36" s="92">
        <v>2</v>
      </c>
      <c r="I36" s="92">
        <v>2</v>
      </c>
      <c r="J36" s="92"/>
      <c r="K36" s="92"/>
      <c r="L36" s="92"/>
      <c r="M36" s="92"/>
      <c r="N36" s="92"/>
      <c r="O36" s="93">
        <v>3</v>
      </c>
      <c r="P36" s="93">
        <v>3</v>
      </c>
      <c r="Q36" s="93">
        <v>3</v>
      </c>
      <c r="R36" s="93">
        <v>3</v>
      </c>
      <c r="S36" s="93">
        <v>1</v>
      </c>
      <c r="T36" s="93">
        <v>1</v>
      </c>
      <c r="U36" s="93">
        <v>1</v>
      </c>
      <c r="V36" s="93">
        <v>1</v>
      </c>
      <c r="W36" s="95">
        <v>1</v>
      </c>
      <c r="X36" s="95">
        <v>1</v>
      </c>
      <c r="Y36" s="93">
        <v>3</v>
      </c>
      <c r="Z36" s="93">
        <v>3</v>
      </c>
    </row>
    <row r="37" spans="1:26" ht="15" customHeight="1" x14ac:dyDescent="0.25">
      <c r="A37" s="122"/>
      <c r="B37" s="91" t="s">
        <v>14</v>
      </c>
      <c r="C37" s="91"/>
      <c r="D37" s="91"/>
      <c r="E37" s="92"/>
      <c r="F37" s="92"/>
      <c r="G37" s="92"/>
      <c r="H37" s="92"/>
      <c r="I37" s="92"/>
      <c r="J37" s="92"/>
      <c r="K37" s="92"/>
      <c r="L37" s="92"/>
      <c r="M37" s="92"/>
      <c r="N37" s="92"/>
      <c r="O37" s="93"/>
      <c r="P37" s="93"/>
      <c r="Q37" s="93"/>
      <c r="R37" s="93"/>
      <c r="S37" s="93"/>
      <c r="T37" s="93"/>
      <c r="U37" s="93"/>
      <c r="V37" s="93"/>
      <c r="W37" s="95"/>
      <c r="X37" s="95"/>
      <c r="Y37" s="93"/>
      <c r="Z37" s="93"/>
    </row>
    <row r="38" spans="1:26" ht="15" customHeight="1" x14ac:dyDescent="0.25">
      <c r="A38" s="122"/>
      <c r="B38" s="91"/>
      <c r="C38" s="91" t="s">
        <v>718</v>
      </c>
      <c r="D38" s="91" t="s">
        <v>15</v>
      </c>
      <c r="E38" s="92">
        <v>2</v>
      </c>
      <c r="F38" s="92">
        <v>2</v>
      </c>
      <c r="G38" s="92">
        <v>2</v>
      </c>
      <c r="H38" s="92">
        <v>3</v>
      </c>
      <c r="I38" s="92">
        <v>3</v>
      </c>
      <c r="J38" s="92">
        <v>2</v>
      </c>
      <c r="K38" s="92">
        <v>2</v>
      </c>
      <c r="L38" s="92">
        <v>3</v>
      </c>
      <c r="M38" s="92">
        <v>3</v>
      </c>
      <c r="N38" s="92">
        <v>3</v>
      </c>
      <c r="O38" s="93">
        <v>3</v>
      </c>
      <c r="P38" s="93">
        <v>3</v>
      </c>
      <c r="Q38" s="93">
        <v>3</v>
      </c>
      <c r="R38" s="93">
        <v>3</v>
      </c>
      <c r="S38" s="93">
        <v>3</v>
      </c>
      <c r="T38" s="93">
        <v>3</v>
      </c>
      <c r="U38" s="93">
        <v>3</v>
      </c>
      <c r="V38" s="93">
        <v>3</v>
      </c>
      <c r="W38" s="95">
        <v>3</v>
      </c>
      <c r="X38" s="95">
        <v>3</v>
      </c>
      <c r="Y38" s="93">
        <v>3</v>
      </c>
      <c r="Z38" s="93">
        <v>3</v>
      </c>
    </row>
    <row r="39" spans="1:26" ht="15" customHeight="1" x14ac:dyDescent="0.25">
      <c r="A39" s="122"/>
      <c r="B39" s="91"/>
      <c r="C39" s="91"/>
      <c r="D39" s="91" t="s">
        <v>719</v>
      </c>
      <c r="E39" s="92"/>
      <c r="F39" s="92"/>
      <c r="G39" s="92"/>
      <c r="H39" s="92"/>
      <c r="I39" s="92"/>
      <c r="J39" s="92">
        <v>1</v>
      </c>
      <c r="K39" s="92">
        <v>2</v>
      </c>
      <c r="L39" s="92">
        <v>2</v>
      </c>
      <c r="M39" s="92">
        <v>3</v>
      </c>
      <c r="N39" s="92">
        <v>3</v>
      </c>
      <c r="O39" s="93">
        <v>3</v>
      </c>
      <c r="P39" s="93">
        <v>3</v>
      </c>
      <c r="Q39" s="93">
        <v>3</v>
      </c>
      <c r="R39" s="93">
        <v>3</v>
      </c>
      <c r="S39" s="93">
        <v>2</v>
      </c>
      <c r="T39" s="93">
        <v>2</v>
      </c>
      <c r="U39" s="93">
        <v>2</v>
      </c>
      <c r="V39" s="93">
        <v>2</v>
      </c>
      <c r="W39" s="95">
        <v>2</v>
      </c>
      <c r="X39" s="95">
        <v>2</v>
      </c>
      <c r="Y39" s="93">
        <v>3</v>
      </c>
      <c r="Z39" s="93">
        <v>3</v>
      </c>
    </row>
    <row r="40" spans="1:26" ht="15" customHeight="1" x14ac:dyDescent="0.25">
      <c r="A40" s="122"/>
      <c r="B40" s="91"/>
      <c r="C40" s="91"/>
      <c r="D40" s="91" t="s">
        <v>720</v>
      </c>
      <c r="E40" s="92"/>
      <c r="F40" s="92"/>
      <c r="G40" s="92"/>
      <c r="H40" s="92"/>
      <c r="I40" s="92"/>
      <c r="J40" s="92">
        <v>1</v>
      </c>
      <c r="K40" s="92">
        <v>2</v>
      </c>
      <c r="L40" s="92">
        <v>2</v>
      </c>
      <c r="M40" s="92">
        <v>3</v>
      </c>
      <c r="N40" s="92">
        <v>3</v>
      </c>
      <c r="O40" s="93">
        <v>3</v>
      </c>
      <c r="P40" s="93">
        <v>3</v>
      </c>
      <c r="Q40" s="93">
        <v>3</v>
      </c>
      <c r="R40" s="93">
        <v>3</v>
      </c>
      <c r="S40" s="93">
        <v>2</v>
      </c>
      <c r="T40" s="93">
        <v>2</v>
      </c>
      <c r="U40" s="93">
        <v>2</v>
      </c>
      <c r="V40" s="93">
        <v>2</v>
      </c>
      <c r="W40" s="95">
        <v>2</v>
      </c>
      <c r="X40" s="95">
        <v>2</v>
      </c>
      <c r="Y40" s="93">
        <v>3</v>
      </c>
      <c r="Z40" s="93">
        <v>3</v>
      </c>
    </row>
    <row r="41" spans="1:26" ht="15" customHeight="1" x14ac:dyDescent="0.25">
      <c r="A41" s="122"/>
      <c r="B41" s="91"/>
      <c r="C41" s="91"/>
      <c r="D41" s="91" t="s">
        <v>721</v>
      </c>
      <c r="E41" s="92"/>
      <c r="F41" s="92"/>
      <c r="G41" s="92"/>
      <c r="H41" s="92"/>
      <c r="I41" s="92"/>
      <c r="J41" s="92">
        <v>1</v>
      </c>
      <c r="K41" s="92">
        <v>2</v>
      </c>
      <c r="L41" s="92">
        <v>2</v>
      </c>
      <c r="M41" s="92">
        <v>3</v>
      </c>
      <c r="N41" s="92">
        <v>3</v>
      </c>
      <c r="O41" s="93">
        <v>3</v>
      </c>
      <c r="P41" s="93">
        <v>3</v>
      </c>
      <c r="Q41" s="93">
        <v>3</v>
      </c>
      <c r="R41" s="93">
        <v>3</v>
      </c>
      <c r="S41" s="93">
        <v>2</v>
      </c>
      <c r="T41" s="93">
        <v>2</v>
      </c>
      <c r="U41" s="93">
        <v>2</v>
      </c>
      <c r="V41" s="93">
        <v>2</v>
      </c>
      <c r="W41" s="95">
        <v>2</v>
      </c>
      <c r="X41" s="95">
        <v>2</v>
      </c>
      <c r="Y41" s="93">
        <v>3</v>
      </c>
      <c r="Z41" s="93">
        <v>3</v>
      </c>
    </row>
    <row r="42" spans="1:26" ht="15" customHeight="1" x14ac:dyDescent="0.25">
      <c r="A42" s="122"/>
      <c r="B42" s="91"/>
      <c r="C42" s="91" t="s">
        <v>722</v>
      </c>
      <c r="D42" s="94" t="s">
        <v>723</v>
      </c>
      <c r="E42" s="92">
        <v>1</v>
      </c>
      <c r="F42" s="92">
        <v>2</v>
      </c>
      <c r="G42" s="92">
        <v>2</v>
      </c>
      <c r="H42" s="92">
        <v>3</v>
      </c>
      <c r="I42" s="92">
        <v>3</v>
      </c>
      <c r="J42" s="92">
        <v>1</v>
      </c>
      <c r="K42" s="92">
        <v>2</v>
      </c>
      <c r="L42" s="92">
        <v>2</v>
      </c>
      <c r="M42" s="92">
        <v>3</v>
      </c>
      <c r="N42" s="92">
        <v>3</v>
      </c>
      <c r="O42" s="93">
        <v>3</v>
      </c>
      <c r="P42" s="93">
        <v>3</v>
      </c>
      <c r="Q42" s="93">
        <v>3</v>
      </c>
      <c r="R42" s="93">
        <v>3</v>
      </c>
      <c r="S42" s="93">
        <v>1</v>
      </c>
      <c r="T42" s="93">
        <v>1</v>
      </c>
      <c r="U42" s="93">
        <v>1</v>
      </c>
      <c r="V42" s="93">
        <v>1</v>
      </c>
      <c r="W42" s="95"/>
      <c r="X42" s="95"/>
      <c r="Y42" s="93"/>
      <c r="Z42" s="93"/>
    </row>
    <row r="43" spans="1:26" x14ac:dyDescent="0.25">
      <c r="A43" s="122"/>
      <c r="B43" s="91"/>
      <c r="C43" s="91"/>
      <c r="D43" s="91" t="s">
        <v>724</v>
      </c>
      <c r="E43" s="92"/>
      <c r="F43" s="92">
        <v>1</v>
      </c>
      <c r="G43" s="92">
        <v>2</v>
      </c>
      <c r="H43" s="92">
        <v>3</v>
      </c>
      <c r="I43" s="92">
        <v>3</v>
      </c>
      <c r="J43" s="92">
        <v>1</v>
      </c>
      <c r="K43" s="92">
        <v>2</v>
      </c>
      <c r="L43" s="92">
        <v>2</v>
      </c>
      <c r="M43" s="92">
        <v>3</v>
      </c>
      <c r="N43" s="92">
        <v>3</v>
      </c>
      <c r="O43" s="93">
        <v>3</v>
      </c>
      <c r="P43" s="93">
        <v>3</v>
      </c>
      <c r="Q43" s="93">
        <v>3</v>
      </c>
      <c r="R43" s="93">
        <v>3</v>
      </c>
      <c r="S43" s="92">
        <v>1</v>
      </c>
      <c r="T43" s="92">
        <v>1</v>
      </c>
      <c r="U43" s="92">
        <v>1</v>
      </c>
      <c r="V43" s="92">
        <v>1</v>
      </c>
      <c r="W43" s="95"/>
      <c r="X43" s="95"/>
      <c r="Y43" s="92"/>
      <c r="Z43" s="92"/>
    </row>
    <row r="44" spans="1:26" ht="15" customHeight="1" x14ac:dyDescent="0.25">
      <c r="A44" s="122"/>
      <c r="B44" s="91"/>
      <c r="C44" s="91" t="s">
        <v>725</v>
      </c>
      <c r="D44" s="91" t="s">
        <v>726</v>
      </c>
      <c r="E44" s="92"/>
      <c r="F44" s="92"/>
      <c r="G44" s="92"/>
      <c r="H44" s="92"/>
      <c r="I44" s="92"/>
      <c r="J44" s="92">
        <v>1</v>
      </c>
      <c r="K44" s="92">
        <v>2</v>
      </c>
      <c r="L44" s="92">
        <v>2</v>
      </c>
      <c r="M44" s="92">
        <v>3</v>
      </c>
      <c r="N44" s="92">
        <v>3</v>
      </c>
      <c r="O44" s="93">
        <v>3</v>
      </c>
      <c r="P44" s="93">
        <v>3</v>
      </c>
      <c r="Q44" s="93">
        <v>3</v>
      </c>
      <c r="R44" s="93">
        <v>3</v>
      </c>
      <c r="S44" s="92">
        <v>2</v>
      </c>
      <c r="T44" s="92">
        <v>2</v>
      </c>
      <c r="U44" s="92">
        <v>2</v>
      </c>
      <c r="V44" s="92">
        <v>2</v>
      </c>
      <c r="W44" s="95"/>
      <c r="X44" s="95"/>
      <c r="Y44" s="93"/>
      <c r="Z44" s="93"/>
    </row>
    <row r="45" spans="1:26" ht="15" customHeight="1" x14ac:dyDescent="0.25">
      <c r="A45" s="122"/>
      <c r="B45" s="91"/>
      <c r="C45" s="91"/>
      <c r="D45" s="91" t="s">
        <v>259</v>
      </c>
      <c r="E45" s="92"/>
      <c r="F45" s="92"/>
      <c r="G45" s="92"/>
      <c r="H45" s="92"/>
      <c r="I45" s="92"/>
      <c r="J45" s="92">
        <v>1</v>
      </c>
      <c r="K45" s="92">
        <v>2</v>
      </c>
      <c r="L45" s="92">
        <v>2</v>
      </c>
      <c r="M45" s="92">
        <v>3</v>
      </c>
      <c r="N45" s="92">
        <v>3</v>
      </c>
      <c r="O45" s="93">
        <v>3</v>
      </c>
      <c r="P45" s="93">
        <v>3</v>
      </c>
      <c r="Q45" s="93">
        <v>3</v>
      </c>
      <c r="R45" s="93">
        <v>3</v>
      </c>
      <c r="S45" s="92">
        <v>1</v>
      </c>
      <c r="T45" s="92">
        <v>1</v>
      </c>
      <c r="U45" s="92">
        <v>1</v>
      </c>
      <c r="V45" s="92">
        <v>1</v>
      </c>
      <c r="W45" s="95"/>
      <c r="X45" s="95"/>
      <c r="Y45" s="93"/>
      <c r="Z45" s="93"/>
    </row>
    <row r="46" spans="1:26" ht="15" customHeight="1" x14ac:dyDescent="0.25">
      <c r="A46" s="122"/>
      <c r="B46" s="91" t="s">
        <v>16</v>
      </c>
      <c r="C46" s="91"/>
      <c r="D46" s="91"/>
      <c r="E46" s="92"/>
      <c r="F46" s="92"/>
      <c r="G46" s="92"/>
      <c r="H46" s="92"/>
      <c r="I46" s="92"/>
      <c r="J46" s="92"/>
      <c r="K46" s="92"/>
      <c r="L46" s="92"/>
      <c r="M46" s="92"/>
      <c r="N46" s="92"/>
      <c r="O46" s="93"/>
      <c r="P46" s="93"/>
      <c r="Q46" s="93"/>
      <c r="R46" s="93"/>
      <c r="S46" s="93"/>
      <c r="T46" s="93"/>
      <c r="U46" s="93"/>
      <c r="V46" s="96"/>
      <c r="W46" s="95"/>
      <c r="X46" s="95"/>
      <c r="Y46" s="93"/>
      <c r="Z46" s="93"/>
    </row>
    <row r="47" spans="1:26" ht="15" customHeight="1" x14ac:dyDescent="0.25">
      <c r="A47" s="122"/>
      <c r="B47" s="91"/>
      <c r="C47" s="91" t="s">
        <v>727</v>
      </c>
      <c r="D47" s="91" t="s">
        <v>17</v>
      </c>
      <c r="E47" s="92">
        <v>1</v>
      </c>
      <c r="F47" s="92">
        <v>2</v>
      </c>
      <c r="G47" s="92">
        <v>2</v>
      </c>
      <c r="H47" s="92">
        <v>2</v>
      </c>
      <c r="I47" s="92">
        <v>2</v>
      </c>
      <c r="J47" s="92">
        <v>1</v>
      </c>
      <c r="K47" s="92">
        <v>2</v>
      </c>
      <c r="L47" s="92">
        <v>2</v>
      </c>
      <c r="M47" s="92">
        <v>2</v>
      </c>
      <c r="N47" s="92">
        <v>2</v>
      </c>
      <c r="O47" s="93">
        <v>3</v>
      </c>
      <c r="P47" s="93">
        <v>3</v>
      </c>
      <c r="Q47" s="93">
        <v>3</v>
      </c>
      <c r="R47" s="93">
        <v>3</v>
      </c>
      <c r="S47" s="93">
        <v>2</v>
      </c>
      <c r="T47" s="93">
        <v>2</v>
      </c>
      <c r="U47" s="93">
        <v>2</v>
      </c>
      <c r="V47" s="96">
        <v>2</v>
      </c>
      <c r="W47" s="95">
        <v>2</v>
      </c>
      <c r="X47" s="95">
        <v>2</v>
      </c>
      <c r="Y47" s="93">
        <v>3</v>
      </c>
      <c r="Z47" s="93">
        <v>3</v>
      </c>
    </row>
    <row r="48" spans="1:26" ht="15" customHeight="1" x14ac:dyDescent="0.25">
      <c r="A48" s="122"/>
      <c r="B48" s="91"/>
      <c r="C48" s="91"/>
      <c r="D48" s="91" t="s">
        <v>18</v>
      </c>
      <c r="E48" s="92">
        <v>1</v>
      </c>
      <c r="F48" s="92">
        <v>2</v>
      </c>
      <c r="G48" s="92">
        <v>2</v>
      </c>
      <c r="H48" s="92">
        <v>3</v>
      </c>
      <c r="I48" s="92">
        <v>3</v>
      </c>
      <c r="J48" s="92">
        <v>1</v>
      </c>
      <c r="K48" s="92">
        <v>2</v>
      </c>
      <c r="L48" s="92">
        <v>2</v>
      </c>
      <c r="M48" s="92">
        <v>2</v>
      </c>
      <c r="N48" s="92">
        <v>2</v>
      </c>
      <c r="O48" s="93">
        <v>3</v>
      </c>
      <c r="P48" s="93">
        <v>3</v>
      </c>
      <c r="Q48" s="93">
        <v>3</v>
      </c>
      <c r="R48" s="93">
        <v>3</v>
      </c>
      <c r="S48" s="93">
        <v>2</v>
      </c>
      <c r="T48" s="93">
        <v>2</v>
      </c>
      <c r="U48" s="93">
        <v>2</v>
      </c>
      <c r="V48" s="96">
        <v>2</v>
      </c>
      <c r="W48" s="95">
        <v>2</v>
      </c>
      <c r="X48" s="95">
        <v>2</v>
      </c>
      <c r="Y48" s="93">
        <v>3</v>
      </c>
      <c r="Z48" s="93">
        <v>3</v>
      </c>
    </row>
    <row r="49" spans="1:26" ht="15" customHeight="1" x14ac:dyDescent="0.25">
      <c r="A49" s="122"/>
      <c r="B49" s="91"/>
      <c r="C49" s="91"/>
      <c r="D49" s="91" t="s">
        <v>26</v>
      </c>
      <c r="E49" s="92"/>
      <c r="F49" s="92"/>
      <c r="G49" s="92">
        <v>1</v>
      </c>
      <c r="H49" s="92">
        <v>2</v>
      </c>
      <c r="I49" s="92">
        <v>2</v>
      </c>
      <c r="J49" s="92"/>
      <c r="K49" s="92"/>
      <c r="L49" s="92">
        <v>1</v>
      </c>
      <c r="M49" s="92">
        <v>2</v>
      </c>
      <c r="N49" s="92">
        <v>2</v>
      </c>
      <c r="O49" s="93">
        <v>3</v>
      </c>
      <c r="P49" s="93">
        <v>3</v>
      </c>
      <c r="Q49" s="93">
        <v>3</v>
      </c>
      <c r="R49" s="93">
        <v>3</v>
      </c>
      <c r="S49" s="93">
        <v>2</v>
      </c>
      <c r="T49" s="93">
        <v>2</v>
      </c>
      <c r="U49" s="93">
        <v>2</v>
      </c>
      <c r="V49" s="96">
        <v>2</v>
      </c>
      <c r="W49" s="95">
        <v>2</v>
      </c>
      <c r="X49" s="95">
        <v>2</v>
      </c>
      <c r="Y49" s="93">
        <v>3</v>
      </c>
      <c r="Z49" s="93">
        <v>3</v>
      </c>
    </row>
    <row r="50" spans="1:26" ht="15" customHeight="1" x14ac:dyDescent="0.25">
      <c r="A50" s="122"/>
      <c r="B50" s="91"/>
      <c r="C50" s="91"/>
      <c r="D50" s="91" t="s">
        <v>19</v>
      </c>
      <c r="E50" s="92">
        <v>2</v>
      </c>
      <c r="F50" s="92">
        <v>2</v>
      </c>
      <c r="G50" s="92">
        <v>2</v>
      </c>
      <c r="H50" s="92">
        <v>3</v>
      </c>
      <c r="I50" s="92">
        <v>3</v>
      </c>
      <c r="J50" s="92">
        <v>2</v>
      </c>
      <c r="K50" s="92">
        <v>2</v>
      </c>
      <c r="L50" s="92">
        <v>2</v>
      </c>
      <c r="M50" s="92">
        <v>3</v>
      </c>
      <c r="N50" s="92">
        <v>3</v>
      </c>
      <c r="O50" s="93">
        <v>3</v>
      </c>
      <c r="P50" s="93">
        <v>3</v>
      </c>
      <c r="Q50" s="93">
        <v>3</v>
      </c>
      <c r="R50" s="93">
        <v>3</v>
      </c>
      <c r="S50" s="93">
        <v>3</v>
      </c>
      <c r="T50" s="93">
        <v>3</v>
      </c>
      <c r="U50" s="93">
        <v>3</v>
      </c>
      <c r="V50" s="96">
        <v>3</v>
      </c>
      <c r="W50" s="95">
        <v>3</v>
      </c>
      <c r="X50" s="95">
        <v>3</v>
      </c>
      <c r="Y50" s="93">
        <v>3</v>
      </c>
      <c r="Z50" s="93">
        <v>3</v>
      </c>
    </row>
    <row r="51" spans="1:26" ht="15" customHeight="1" x14ac:dyDescent="0.25">
      <c r="A51" s="122"/>
      <c r="B51" s="91"/>
      <c r="C51" s="91" t="s">
        <v>728</v>
      </c>
      <c r="D51" s="91" t="s">
        <v>20</v>
      </c>
      <c r="E51" s="92">
        <v>2</v>
      </c>
      <c r="F51" s="92">
        <v>2</v>
      </c>
      <c r="G51" s="92">
        <v>2</v>
      </c>
      <c r="H51" s="92">
        <v>2</v>
      </c>
      <c r="I51" s="92">
        <v>2</v>
      </c>
      <c r="J51" s="92">
        <v>2</v>
      </c>
      <c r="K51" s="92">
        <v>2</v>
      </c>
      <c r="L51" s="92">
        <v>2</v>
      </c>
      <c r="M51" s="92">
        <v>2</v>
      </c>
      <c r="N51" s="92">
        <v>2</v>
      </c>
      <c r="O51" s="93">
        <v>3</v>
      </c>
      <c r="P51" s="93">
        <v>3</v>
      </c>
      <c r="Q51" s="93">
        <v>3</v>
      </c>
      <c r="R51" s="93">
        <v>3</v>
      </c>
      <c r="S51" s="93">
        <v>3</v>
      </c>
      <c r="T51" s="93">
        <v>3</v>
      </c>
      <c r="U51" s="93">
        <v>3</v>
      </c>
      <c r="V51" s="96">
        <v>3</v>
      </c>
      <c r="W51" s="95">
        <v>3</v>
      </c>
      <c r="X51" s="95">
        <v>3</v>
      </c>
      <c r="Y51" s="93">
        <v>3</v>
      </c>
      <c r="Z51" s="93">
        <v>3</v>
      </c>
    </row>
    <row r="52" spans="1:26" ht="15" customHeight="1" x14ac:dyDescent="0.25">
      <c r="A52" s="122"/>
      <c r="B52" s="91"/>
      <c r="C52" s="91"/>
      <c r="D52" s="91" t="s">
        <v>21</v>
      </c>
      <c r="E52" s="92"/>
      <c r="F52" s="92"/>
      <c r="G52" s="92"/>
      <c r="H52" s="92"/>
      <c r="I52" s="92"/>
      <c r="J52" s="92"/>
      <c r="K52" s="92"/>
      <c r="L52" s="92"/>
      <c r="M52" s="92"/>
      <c r="N52" s="92"/>
      <c r="O52" s="93">
        <v>3</v>
      </c>
      <c r="P52" s="93">
        <v>3</v>
      </c>
      <c r="Q52" s="93">
        <v>3</v>
      </c>
      <c r="R52" s="93">
        <v>3</v>
      </c>
      <c r="S52" s="93">
        <v>1</v>
      </c>
      <c r="T52" s="93">
        <v>2</v>
      </c>
      <c r="U52" s="93">
        <v>3</v>
      </c>
      <c r="V52" s="96">
        <v>3</v>
      </c>
      <c r="W52" s="95">
        <v>2</v>
      </c>
      <c r="X52" s="95">
        <v>3</v>
      </c>
      <c r="Y52" s="93">
        <v>3</v>
      </c>
      <c r="Z52" s="93">
        <v>3</v>
      </c>
    </row>
    <row r="53" spans="1:26" ht="15" customHeight="1" x14ac:dyDescent="0.25">
      <c r="A53" s="122"/>
      <c r="B53" s="91"/>
      <c r="C53" s="91"/>
      <c r="D53" s="91" t="s">
        <v>22</v>
      </c>
      <c r="E53" s="92">
        <v>2</v>
      </c>
      <c r="F53" s="92">
        <v>2</v>
      </c>
      <c r="G53" s="92">
        <v>2</v>
      </c>
      <c r="H53" s="92">
        <v>2</v>
      </c>
      <c r="I53" s="92">
        <v>2</v>
      </c>
      <c r="J53" s="92">
        <v>2</v>
      </c>
      <c r="K53" s="92">
        <v>2</v>
      </c>
      <c r="L53" s="92">
        <v>2</v>
      </c>
      <c r="M53" s="92">
        <v>2</v>
      </c>
      <c r="N53" s="92">
        <v>2</v>
      </c>
      <c r="O53" s="93">
        <v>3</v>
      </c>
      <c r="P53" s="93">
        <v>3</v>
      </c>
      <c r="Q53" s="93">
        <v>3</v>
      </c>
      <c r="R53" s="93">
        <v>3</v>
      </c>
      <c r="S53" s="93">
        <v>1</v>
      </c>
      <c r="T53" s="93">
        <v>2</v>
      </c>
      <c r="U53" s="93">
        <v>2</v>
      </c>
      <c r="V53" s="96">
        <v>2</v>
      </c>
      <c r="W53" s="95">
        <v>2</v>
      </c>
      <c r="X53" s="95">
        <v>2</v>
      </c>
      <c r="Y53" s="93">
        <v>3</v>
      </c>
      <c r="Z53" s="93">
        <v>3</v>
      </c>
    </row>
    <row r="54" spans="1:26" ht="15" customHeight="1" x14ac:dyDescent="0.25">
      <c r="A54" s="122"/>
      <c r="B54" s="91"/>
      <c r="C54" s="91"/>
      <c r="D54" s="91" t="s">
        <v>23</v>
      </c>
      <c r="E54" s="92"/>
      <c r="F54" s="92">
        <v>1</v>
      </c>
      <c r="G54" s="92">
        <v>2</v>
      </c>
      <c r="H54" s="92">
        <v>2</v>
      </c>
      <c r="I54" s="92">
        <v>2</v>
      </c>
      <c r="J54" s="92"/>
      <c r="K54" s="92">
        <v>1</v>
      </c>
      <c r="L54" s="92">
        <v>2</v>
      </c>
      <c r="M54" s="92">
        <v>2</v>
      </c>
      <c r="N54" s="92">
        <v>2</v>
      </c>
      <c r="O54" s="93">
        <v>3</v>
      </c>
      <c r="P54" s="93">
        <v>3</v>
      </c>
      <c r="Q54" s="93">
        <v>3</v>
      </c>
      <c r="R54" s="93">
        <v>3</v>
      </c>
      <c r="S54" s="93">
        <v>2</v>
      </c>
      <c r="T54" s="93">
        <v>2</v>
      </c>
      <c r="U54" s="93">
        <v>2</v>
      </c>
      <c r="V54" s="96">
        <v>2</v>
      </c>
      <c r="W54" s="95">
        <v>2</v>
      </c>
      <c r="X54" s="95">
        <v>2</v>
      </c>
      <c r="Y54" s="93">
        <v>3</v>
      </c>
      <c r="Z54" s="93">
        <v>3</v>
      </c>
    </row>
    <row r="55" spans="1:26" ht="15" customHeight="1" x14ac:dyDescent="0.25">
      <c r="A55" s="122"/>
      <c r="B55" s="91"/>
      <c r="C55" s="91"/>
      <c r="D55" s="91" t="s">
        <v>24</v>
      </c>
      <c r="E55" s="92">
        <v>2</v>
      </c>
      <c r="F55" s="92">
        <v>2</v>
      </c>
      <c r="G55" s="92">
        <v>2</v>
      </c>
      <c r="H55" s="92">
        <v>2</v>
      </c>
      <c r="I55" s="92">
        <v>2</v>
      </c>
      <c r="J55" s="92">
        <v>2</v>
      </c>
      <c r="K55" s="92">
        <v>2</v>
      </c>
      <c r="L55" s="92">
        <v>2</v>
      </c>
      <c r="M55" s="92">
        <v>2</v>
      </c>
      <c r="N55" s="92">
        <v>2</v>
      </c>
      <c r="O55" s="93">
        <v>3</v>
      </c>
      <c r="P55" s="93">
        <v>3</v>
      </c>
      <c r="Q55" s="93">
        <v>3</v>
      </c>
      <c r="R55" s="93">
        <v>3</v>
      </c>
      <c r="S55" s="93">
        <v>2</v>
      </c>
      <c r="T55" s="93">
        <v>2</v>
      </c>
      <c r="U55" s="93">
        <v>2</v>
      </c>
      <c r="V55" s="96">
        <v>2</v>
      </c>
      <c r="W55" s="95">
        <v>2</v>
      </c>
      <c r="X55" s="95">
        <v>2</v>
      </c>
      <c r="Y55" s="93">
        <v>3</v>
      </c>
      <c r="Z55" s="93">
        <v>3</v>
      </c>
    </row>
    <row r="56" spans="1:26" ht="15" customHeight="1" x14ac:dyDescent="0.25">
      <c r="A56" s="122"/>
      <c r="B56" s="91"/>
      <c r="C56" s="91" t="s">
        <v>729</v>
      </c>
      <c r="D56" s="91" t="s">
        <v>25</v>
      </c>
      <c r="E56" s="92"/>
      <c r="F56" s="92"/>
      <c r="G56" s="92"/>
      <c r="H56" s="92"/>
      <c r="I56" s="92"/>
      <c r="J56" s="92"/>
      <c r="K56" s="92"/>
      <c r="L56" s="92"/>
      <c r="M56" s="92"/>
      <c r="N56" s="92"/>
      <c r="O56" s="93">
        <v>3</v>
      </c>
      <c r="P56" s="93">
        <v>3</v>
      </c>
      <c r="Q56" s="93">
        <v>3</v>
      </c>
      <c r="R56" s="93">
        <v>3</v>
      </c>
      <c r="S56" s="93">
        <v>2</v>
      </c>
      <c r="T56" s="93">
        <v>2</v>
      </c>
      <c r="U56" s="93">
        <v>2</v>
      </c>
      <c r="V56" s="96">
        <v>2</v>
      </c>
      <c r="W56" s="95">
        <v>2</v>
      </c>
      <c r="X56" s="95">
        <v>2</v>
      </c>
      <c r="Y56" s="93">
        <v>3</v>
      </c>
      <c r="Z56" s="93">
        <v>3</v>
      </c>
    </row>
    <row r="57" spans="1:26" ht="15" customHeight="1" x14ac:dyDescent="0.25">
      <c r="A57" s="122"/>
      <c r="B57" s="91"/>
      <c r="C57" s="91"/>
      <c r="D57" s="91" t="s">
        <v>27</v>
      </c>
      <c r="E57" s="92"/>
      <c r="F57" s="92"/>
      <c r="G57" s="92"/>
      <c r="H57" s="92"/>
      <c r="I57" s="92"/>
      <c r="J57" s="92"/>
      <c r="K57" s="92"/>
      <c r="L57" s="92"/>
      <c r="M57" s="92"/>
      <c r="N57" s="92"/>
      <c r="O57" s="92">
        <v>3</v>
      </c>
      <c r="P57" s="92">
        <v>3</v>
      </c>
      <c r="Q57" s="92">
        <v>3</v>
      </c>
      <c r="R57" s="92">
        <v>3</v>
      </c>
      <c r="S57" s="92"/>
      <c r="T57" s="92"/>
      <c r="U57" s="92"/>
      <c r="V57" s="92"/>
      <c r="W57" s="95"/>
      <c r="X57" s="95"/>
      <c r="Y57" s="92">
        <v>3</v>
      </c>
      <c r="Z57" s="92">
        <v>3</v>
      </c>
    </row>
    <row r="58" spans="1:26" ht="15" customHeight="1" x14ac:dyDescent="0.25">
      <c r="A58" s="122"/>
      <c r="B58" s="91"/>
      <c r="C58" s="91"/>
      <c r="D58" s="91" t="s">
        <v>28</v>
      </c>
      <c r="E58" s="92"/>
      <c r="F58" s="92"/>
      <c r="G58" s="92"/>
      <c r="H58" s="92"/>
      <c r="I58" s="92"/>
      <c r="J58" s="92"/>
      <c r="K58" s="92"/>
      <c r="L58" s="92"/>
      <c r="M58" s="92"/>
      <c r="N58" s="92"/>
      <c r="O58" s="93">
        <v>3</v>
      </c>
      <c r="P58" s="93">
        <v>3</v>
      </c>
      <c r="Q58" s="93">
        <v>3</v>
      </c>
      <c r="R58" s="93">
        <v>3</v>
      </c>
      <c r="S58" s="93"/>
      <c r="T58" s="93"/>
      <c r="U58" s="93"/>
      <c r="V58" s="96"/>
      <c r="W58" s="95"/>
      <c r="X58" s="95"/>
      <c r="Y58" s="93">
        <v>3</v>
      </c>
      <c r="Z58" s="93">
        <v>3</v>
      </c>
    </row>
    <row r="59" spans="1:26" ht="15" customHeight="1" x14ac:dyDescent="0.25">
      <c r="A59" s="122"/>
      <c r="B59" s="91"/>
      <c r="C59" s="91"/>
      <c r="D59" s="91" t="s">
        <v>29</v>
      </c>
      <c r="E59" s="92"/>
      <c r="F59" s="92"/>
      <c r="G59" s="92"/>
      <c r="H59" s="92"/>
      <c r="I59" s="92"/>
      <c r="J59" s="92"/>
      <c r="K59" s="92"/>
      <c r="L59" s="92"/>
      <c r="M59" s="92"/>
      <c r="N59" s="92"/>
      <c r="O59" s="93">
        <v>3</v>
      </c>
      <c r="P59" s="93">
        <v>3</v>
      </c>
      <c r="Q59" s="93">
        <v>3</v>
      </c>
      <c r="R59" s="93">
        <v>3</v>
      </c>
      <c r="S59" s="93"/>
      <c r="T59" s="93"/>
      <c r="U59" s="93"/>
      <c r="V59" s="96"/>
      <c r="W59" s="95"/>
      <c r="X59" s="95"/>
      <c r="Y59" s="93">
        <v>3</v>
      </c>
      <c r="Z59" s="93">
        <v>3</v>
      </c>
    </row>
    <row r="60" spans="1:26" ht="15" customHeight="1" x14ac:dyDescent="0.25">
      <c r="A60" s="122"/>
      <c r="B60" s="91" t="s">
        <v>30</v>
      </c>
      <c r="C60" s="91"/>
      <c r="D60" s="91"/>
      <c r="E60" s="92"/>
      <c r="F60" s="92"/>
      <c r="G60" s="92"/>
      <c r="H60" s="92"/>
      <c r="I60" s="92"/>
      <c r="J60" s="92"/>
      <c r="K60" s="92"/>
      <c r="L60" s="92"/>
      <c r="M60" s="92"/>
      <c r="N60" s="92"/>
      <c r="O60" s="93"/>
      <c r="P60" s="93"/>
      <c r="Q60" s="93"/>
      <c r="R60" s="93"/>
      <c r="S60" s="93"/>
      <c r="T60" s="93"/>
      <c r="U60" s="93"/>
      <c r="V60" s="96"/>
      <c r="W60" s="95"/>
      <c r="X60" s="95"/>
      <c r="Y60" s="93"/>
      <c r="Z60" s="93"/>
    </row>
    <row r="61" spans="1:26" ht="15" customHeight="1" x14ac:dyDescent="0.25">
      <c r="A61" s="122"/>
      <c r="B61" s="91"/>
      <c r="C61" s="91" t="s">
        <v>730</v>
      </c>
      <c r="D61" s="91" t="s">
        <v>31</v>
      </c>
      <c r="E61" s="92"/>
      <c r="F61" s="92"/>
      <c r="G61" s="92">
        <v>1</v>
      </c>
      <c r="H61" s="92">
        <v>2</v>
      </c>
      <c r="I61" s="92">
        <v>2</v>
      </c>
      <c r="J61" s="92"/>
      <c r="K61" s="92"/>
      <c r="L61" s="92">
        <v>1</v>
      </c>
      <c r="M61" s="92">
        <v>2</v>
      </c>
      <c r="N61" s="92">
        <v>2</v>
      </c>
      <c r="O61" s="93">
        <v>3</v>
      </c>
      <c r="P61" s="93">
        <v>3</v>
      </c>
      <c r="Q61" s="93">
        <v>3</v>
      </c>
      <c r="R61" s="93">
        <v>3</v>
      </c>
      <c r="S61" s="93">
        <v>3</v>
      </c>
      <c r="T61" s="93">
        <v>3</v>
      </c>
      <c r="U61" s="93">
        <v>3</v>
      </c>
      <c r="V61" s="96">
        <v>3</v>
      </c>
      <c r="W61" s="95">
        <v>3</v>
      </c>
      <c r="X61" s="95">
        <v>3</v>
      </c>
      <c r="Y61" s="93">
        <v>3</v>
      </c>
      <c r="Z61" s="93">
        <v>3</v>
      </c>
    </row>
    <row r="62" spans="1:26" ht="15" customHeight="1" x14ac:dyDescent="0.25">
      <c r="A62" s="122"/>
      <c r="B62" s="91"/>
      <c r="C62" s="91"/>
      <c r="D62" s="91" t="s">
        <v>33</v>
      </c>
      <c r="E62" s="92"/>
      <c r="F62" s="92"/>
      <c r="G62" s="92"/>
      <c r="H62" s="92"/>
      <c r="I62" s="92"/>
      <c r="J62" s="92"/>
      <c r="K62" s="92"/>
      <c r="L62" s="92"/>
      <c r="M62" s="92"/>
      <c r="N62" s="92"/>
      <c r="O62" s="93"/>
      <c r="P62" s="93"/>
      <c r="Q62" s="93">
        <v>2</v>
      </c>
      <c r="R62" s="93">
        <v>2</v>
      </c>
      <c r="S62" s="93">
        <v>1</v>
      </c>
      <c r="T62" s="93">
        <v>2</v>
      </c>
      <c r="U62" s="93">
        <v>3</v>
      </c>
      <c r="V62" s="96">
        <v>3</v>
      </c>
      <c r="W62" s="95">
        <v>3</v>
      </c>
      <c r="X62" s="95">
        <v>3</v>
      </c>
      <c r="Y62" s="93">
        <v>2</v>
      </c>
      <c r="Z62" s="93">
        <v>2</v>
      </c>
    </row>
    <row r="63" spans="1:26" ht="15" customHeight="1" x14ac:dyDescent="0.25">
      <c r="A63" s="122"/>
      <c r="B63" s="91"/>
      <c r="C63" s="91"/>
      <c r="D63" s="91" t="s">
        <v>34</v>
      </c>
      <c r="E63" s="92"/>
      <c r="F63" s="92"/>
      <c r="G63" s="92"/>
      <c r="H63" s="92"/>
      <c r="I63" s="92"/>
      <c r="J63" s="92"/>
      <c r="K63" s="92"/>
      <c r="L63" s="92"/>
      <c r="M63" s="92"/>
      <c r="N63" s="92"/>
      <c r="O63" s="93"/>
      <c r="P63" s="93"/>
      <c r="Q63" s="93">
        <v>2</v>
      </c>
      <c r="R63" s="93">
        <v>2</v>
      </c>
      <c r="S63" s="93">
        <v>1</v>
      </c>
      <c r="T63" s="93">
        <v>2</v>
      </c>
      <c r="U63" s="93">
        <v>3</v>
      </c>
      <c r="V63" s="96">
        <v>3</v>
      </c>
      <c r="W63" s="95">
        <v>3</v>
      </c>
      <c r="X63" s="95">
        <v>3</v>
      </c>
      <c r="Y63" s="93">
        <v>2</v>
      </c>
      <c r="Z63" s="93">
        <v>2</v>
      </c>
    </row>
    <row r="64" spans="1:26" ht="15" customHeight="1" x14ac:dyDescent="0.25">
      <c r="A64" s="122"/>
      <c r="B64" s="91"/>
      <c r="C64" s="91"/>
      <c r="D64" s="91" t="s">
        <v>36</v>
      </c>
      <c r="E64" s="92"/>
      <c r="F64" s="92"/>
      <c r="G64" s="92"/>
      <c r="H64" s="92"/>
      <c r="I64" s="92"/>
      <c r="J64" s="92"/>
      <c r="K64" s="92"/>
      <c r="L64" s="92"/>
      <c r="M64" s="92"/>
      <c r="N64" s="92"/>
      <c r="O64" s="93"/>
      <c r="P64" s="93"/>
      <c r="Q64" s="93">
        <v>2</v>
      </c>
      <c r="R64" s="93">
        <v>2</v>
      </c>
      <c r="S64" s="93">
        <v>1</v>
      </c>
      <c r="T64" s="93">
        <v>2</v>
      </c>
      <c r="U64" s="93">
        <v>3</v>
      </c>
      <c r="V64" s="96">
        <v>3</v>
      </c>
      <c r="W64" s="95">
        <v>3</v>
      </c>
      <c r="X64" s="95">
        <v>3</v>
      </c>
      <c r="Y64" s="93">
        <v>2</v>
      </c>
      <c r="Z64" s="93">
        <v>2</v>
      </c>
    </row>
    <row r="65" spans="1:26" ht="15" customHeight="1" x14ac:dyDescent="0.25">
      <c r="A65" s="122"/>
      <c r="B65" s="91"/>
      <c r="C65" s="91"/>
      <c r="D65" s="91" t="s">
        <v>37</v>
      </c>
      <c r="E65" s="92"/>
      <c r="F65" s="92"/>
      <c r="G65" s="92"/>
      <c r="H65" s="92"/>
      <c r="I65" s="92"/>
      <c r="J65" s="92"/>
      <c r="K65" s="92"/>
      <c r="L65" s="92"/>
      <c r="M65" s="92"/>
      <c r="N65" s="92"/>
      <c r="O65" s="93"/>
      <c r="P65" s="93"/>
      <c r="Q65" s="93">
        <v>2</v>
      </c>
      <c r="R65" s="93">
        <v>2</v>
      </c>
      <c r="S65" s="93">
        <v>1</v>
      </c>
      <c r="T65" s="93">
        <v>2</v>
      </c>
      <c r="U65" s="93">
        <v>3</v>
      </c>
      <c r="V65" s="96">
        <v>3</v>
      </c>
      <c r="W65" s="95">
        <v>3</v>
      </c>
      <c r="X65" s="95">
        <v>3</v>
      </c>
      <c r="Y65" s="93">
        <v>2</v>
      </c>
      <c r="Z65" s="93">
        <v>2</v>
      </c>
    </row>
    <row r="66" spans="1:26" ht="15" customHeight="1" x14ac:dyDescent="0.25">
      <c r="A66" s="122"/>
      <c r="B66" s="91"/>
      <c r="C66" s="91"/>
      <c r="D66" s="91" t="s">
        <v>38</v>
      </c>
      <c r="E66" s="92"/>
      <c r="F66" s="92"/>
      <c r="G66" s="92"/>
      <c r="H66" s="92"/>
      <c r="I66" s="92"/>
      <c r="J66" s="92"/>
      <c r="K66" s="92"/>
      <c r="L66" s="92"/>
      <c r="M66" s="92"/>
      <c r="N66" s="92"/>
      <c r="O66" s="93"/>
      <c r="P66" s="93"/>
      <c r="Q66" s="93">
        <v>2</v>
      </c>
      <c r="R66" s="93">
        <v>2</v>
      </c>
      <c r="S66" s="93">
        <v>1</v>
      </c>
      <c r="T66" s="93">
        <v>2</v>
      </c>
      <c r="U66" s="93">
        <v>3</v>
      </c>
      <c r="V66" s="96">
        <v>3</v>
      </c>
      <c r="W66" s="95">
        <v>2</v>
      </c>
      <c r="X66" s="95">
        <v>3</v>
      </c>
      <c r="Y66" s="93">
        <v>2</v>
      </c>
      <c r="Z66" s="93">
        <v>2</v>
      </c>
    </row>
    <row r="67" spans="1:26" ht="15" customHeight="1" x14ac:dyDescent="0.25">
      <c r="A67" s="122"/>
      <c r="B67" s="91"/>
      <c r="C67" s="91" t="s">
        <v>731</v>
      </c>
      <c r="D67" s="91" t="s">
        <v>35</v>
      </c>
      <c r="E67" s="92"/>
      <c r="F67" s="92"/>
      <c r="G67" s="92">
        <v>1</v>
      </c>
      <c r="H67" s="92">
        <v>2</v>
      </c>
      <c r="I67" s="92">
        <v>2</v>
      </c>
      <c r="J67" s="92"/>
      <c r="K67" s="92"/>
      <c r="L67" s="92">
        <v>1</v>
      </c>
      <c r="M67" s="92">
        <v>2</v>
      </c>
      <c r="N67" s="92">
        <v>2</v>
      </c>
      <c r="O67" s="93"/>
      <c r="P67" s="93"/>
      <c r="Q67" s="93">
        <v>2</v>
      </c>
      <c r="R67" s="93">
        <v>2</v>
      </c>
      <c r="S67" s="93">
        <v>2</v>
      </c>
      <c r="T67" s="93">
        <v>2</v>
      </c>
      <c r="U67" s="93">
        <v>2</v>
      </c>
      <c r="V67" s="93">
        <v>2</v>
      </c>
      <c r="W67" s="95">
        <v>2</v>
      </c>
      <c r="X67" s="95">
        <v>2</v>
      </c>
      <c r="Y67" s="93">
        <v>2</v>
      </c>
      <c r="Z67" s="93">
        <v>2</v>
      </c>
    </row>
    <row r="68" spans="1:26" ht="15" customHeight="1" x14ac:dyDescent="0.25">
      <c r="A68" s="122"/>
      <c r="B68" s="91"/>
      <c r="C68" s="91"/>
      <c r="D68" s="91" t="s">
        <v>32</v>
      </c>
      <c r="E68" s="92"/>
      <c r="F68" s="92"/>
      <c r="G68" s="92">
        <v>1</v>
      </c>
      <c r="H68" s="92">
        <v>2</v>
      </c>
      <c r="I68" s="92">
        <v>2</v>
      </c>
      <c r="J68" s="92"/>
      <c r="K68" s="92"/>
      <c r="L68" s="92">
        <v>1</v>
      </c>
      <c r="M68" s="92">
        <v>2</v>
      </c>
      <c r="N68" s="92">
        <v>2</v>
      </c>
      <c r="O68" s="93">
        <v>1</v>
      </c>
      <c r="P68" s="93">
        <v>2</v>
      </c>
      <c r="Q68" s="93">
        <v>2</v>
      </c>
      <c r="R68" s="93">
        <v>3</v>
      </c>
      <c r="S68" s="93">
        <v>2</v>
      </c>
      <c r="T68" s="93">
        <v>3</v>
      </c>
      <c r="U68" s="93">
        <v>3</v>
      </c>
      <c r="V68" s="96">
        <v>3</v>
      </c>
      <c r="W68" s="95">
        <v>3</v>
      </c>
      <c r="X68" s="95">
        <v>3</v>
      </c>
      <c r="Y68" s="93">
        <v>2</v>
      </c>
      <c r="Z68" s="93">
        <v>2</v>
      </c>
    </row>
    <row r="69" spans="1:26" ht="15" customHeight="1" x14ac:dyDescent="0.25">
      <c r="A69" s="122"/>
      <c r="B69" s="91"/>
      <c r="C69" s="91"/>
      <c r="D69" s="91" t="s">
        <v>39</v>
      </c>
      <c r="E69" s="92"/>
      <c r="F69" s="92"/>
      <c r="G69" s="92">
        <v>1</v>
      </c>
      <c r="H69" s="92">
        <v>2</v>
      </c>
      <c r="I69" s="92">
        <v>2</v>
      </c>
      <c r="J69" s="92"/>
      <c r="K69" s="92"/>
      <c r="L69" s="92">
        <v>1</v>
      </c>
      <c r="M69" s="92">
        <v>2</v>
      </c>
      <c r="N69" s="92">
        <v>2</v>
      </c>
      <c r="O69" s="93">
        <v>2</v>
      </c>
      <c r="P69" s="93">
        <v>2</v>
      </c>
      <c r="Q69" s="93">
        <v>2</v>
      </c>
      <c r="R69" s="93">
        <v>2</v>
      </c>
      <c r="S69" s="93">
        <v>2</v>
      </c>
      <c r="T69" s="93">
        <v>2</v>
      </c>
      <c r="U69" s="93">
        <v>2</v>
      </c>
      <c r="V69" s="96">
        <v>2</v>
      </c>
      <c r="W69" s="95">
        <v>2</v>
      </c>
      <c r="X69" s="95">
        <v>2</v>
      </c>
      <c r="Y69" s="93">
        <v>2</v>
      </c>
      <c r="Z69" s="93">
        <v>2</v>
      </c>
    </row>
    <row r="70" spans="1:26" ht="15" customHeight="1" x14ac:dyDescent="0.25">
      <c r="A70" s="122"/>
      <c r="B70" s="91" t="s">
        <v>40</v>
      </c>
      <c r="C70" s="91"/>
      <c r="D70" s="91"/>
      <c r="E70" s="92"/>
      <c r="F70" s="92"/>
      <c r="G70" s="92"/>
      <c r="H70" s="92"/>
      <c r="I70" s="92"/>
      <c r="J70" s="92"/>
      <c r="K70" s="92"/>
      <c r="L70" s="92"/>
      <c r="M70" s="92"/>
      <c r="N70" s="92"/>
      <c r="O70" s="93"/>
      <c r="P70" s="93"/>
      <c r="Q70" s="93"/>
      <c r="R70" s="93"/>
      <c r="S70" s="93"/>
      <c r="T70" s="93"/>
      <c r="U70" s="93"/>
      <c r="V70" s="96"/>
      <c r="W70" s="95"/>
      <c r="X70" s="95"/>
      <c r="Y70" s="93"/>
      <c r="Z70" s="93"/>
    </row>
    <row r="71" spans="1:26" ht="15" customHeight="1" x14ac:dyDescent="0.25">
      <c r="A71" s="122"/>
      <c r="B71" s="91"/>
      <c r="C71" s="91" t="s">
        <v>40</v>
      </c>
      <c r="D71" s="91" t="s">
        <v>41</v>
      </c>
      <c r="E71" s="92">
        <v>2</v>
      </c>
      <c r="F71" s="92">
        <v>2</v>
      </c>
      <c r="G71" s="92">
        <v>2</v>
      </c>
      <c r="H71" s="92">
        <v>2</v>
      </c>
      <c r="I71" s="92">
        <v>2</v>
      </c>
      <c r="J71" s="92">
        <v>2</v>
      </c>
      <c r="K71" s="92">
        <v>2</v>
      </c>
      <c r="L71" s="92">
        <v>2</v>
      </c>
      <c r="M71" s="92">
        <v>2</v>
      </c>
      <c r="N71" s="92">
        <v>2</v>
      </c>
      <c r="O71" s="93">
        <v>2</v>
      </c>
      <c r="P71" s="93">
        <v>2</v>
      </c>
      <c r="Q71" s="93">
        <v>2</v>
      </c>
      <c r="R71" s="93">
        <v>2</v>
      </c>
      <c r="S71" s="93">
        <v>2</v>
      </c>
      <c r="T71" s="93">
        <v>2</v>
      </c>
      <c r="U71" s="93">
        <v>3</v>
      </c>
      <c r="V71" s="96">
        <v>3</v>
      </c>
      <c r="W71" s="95">
        <v>2</v>
      </c>
      <c r="X71" s="95">
        <v>3</v>
      </c>
      <c r="Y71" s="93">
        <v>2</v>
      </c>
      <c r="Z71" s="93">
        <v>2</v>
      </c>
    </row>
    <row r="72" spans="1:26" ht="15" customHeight="1" x14ac:dyDescent="0.25">
      <c r="A72" s="122"/>
      <c r="B72" s="91"/>
      <c r="C72" s="91"/>
      <c r="D72" s="91" t="s">
        <v>42</v>
      </c>
      <c r="E72" s="92"/>
      <c r="F72" s="92"/>
      <c r="G72" s="92">
        <v>1</v>
      </c>
      <c r="H72" s="92">
        <v>2</v>
      </c>
      <c r="I72" s="92">
        <v>2</v>
      </c>
      <c r="J72" s="92"/>
      <c r="K72" s="92"/>
      <c r="L72" s="92">
        <v>1</v>
      </c>
      <c r="M72" s="92">
        <v>2</v>
      </c>
      <c r="N72" s="92">
        <v>2</v>
      </c>
      <c r="O72" s="93">
        <v>2</v>
      </c>
      <c r="P72" s="93">
        <v>2</v>
      </c>
      <c r="Q72" s="93">
        <v>2</v>
      </c>
      <c r="R72" s="93">
        <v>2</v>
      </c>
      <c r="S72" s="93">
        <v>2</v>
      </c>
      <c r="T72" s="93">
        <v>2</v>
      </c>
      <c r="U72" s="93">
        <v>3</v>
      </c>
      <c r="V72" s="96">
        <v>3</v>
      </c>
      <c r="W72" s="95">
        <v>2</v>
      </c>
      <c r="X72" s="95">
        <v>3</v>
      </c>
      <c r="Y72" s="93">
        <v>2</v>
      </c>
      <c r="Z72" s="93">
        <v>2</v>
      </c>
    </row>
    <row r="73" spans="1:26" ht="15" customHeight="1" x14ac:dyDescent="0.25">
      <c r="A73" s="122"/>
      <c r="B73" s="91"/>
      <c r="C73" s="91"/>
      <c r="D73" s="91" t="s">
        <v>43</v>
      </c>
      <c r="E73" s="92"/>
      <c r="F73" s="92"/>
      <c r="G73" s="92"/>
      <c r="H73" s="92"/>
      <c r="I73" s="92"/>
      <c r="J73" s="92"/>
      <c r="K73" s="92"/>
      <c r="L73" s="92"/>
      <c r="M73" s="92"/>
      <c r="N73" s="92"/>
      <c r="O73" s="93">
        <v>2</v>
      </c>
      <c r="P73" s="93">
        <v>2</v>
      </c>
      <c r="Q73" s="93">
        <v>2</v>
      </c>
      <c r="R73" s="93">
        <v>2</v>
      </c>
      <c r="S73" s="93">
        <v>2</v>
      </c>
      <c r="T73" s="93">
        <v>2</v>
      </c>
      <c r="U73" s="93">
        <v>3</v>
      </c>
      <c r="V73" s="96">
        <v>3</v>
      </c>
      <c r="W73" s="95">
        <v>2</v>
      </c>
      <c r="X73" s="95">
        <v>3</v>
      </c>
      <c r="Y73" s="93">
        <v>2</v>
      </c>
      <c r="Z73" s="93">
        <v>2</v>
      </c>
    </row>
    <row r="74" spans="1:26" ht="15" customHeight="1" x14ac:dyDescent="0.25">
      <c r="A74" s="120" t="s">
        <v>75</v>
      </c>
      <c r="B74" s="91"/>
      <c r="C74" s="91"/>
      <c r="D74" s="91" t="s">
        <v>44</v>
      </c>
      <c r="E74" s="92"/>
      <c r="F74" s="92"/>
      <c r="G74" s="92"/>
      <c r="H74" s="92"/>
      <c r="I74" s="92"/>
      <c r="J74" s="92"/>
      <c r="K74" s="92"/>
      <c r="L74" s="92"/>
      <c r="M74" s="92"/>
      <c r="N74" s="92"/>
      <c r="O74" s="93">
        <v>2</v>
      </c>
      <c r="P74" s="93">
        <v>2</v>
      </c>
      <c r="Q74" s="93">
        <v>2</v>
      </c>
      <c r="R74" s="93">
        <v>2</v>
      </c>
      <c r="S74" s="93">
        <v>2</v>
      </c>
      <c r="T74" s="93">
        <v>2</v>
      </c>
      <c r="U74" s="93">
        <v>2</v>
      </c>
      <c r="V74" s="93">
        <v>2</v>
      </c>
      <c r="W74" s="95">
        <v>2</v>
      </c>
      <c r="X74" s="95">
        <v>2</v>
      </c>
      <c r="Y74" s="93">
        <v>2</v>
      </c>
      <c r="Z74" s="93">
        <v>2</v>
      </c>
    </row>
    <row r="75" spans="1:26" ht="15" customHeight="1" x14ac:dyDescent="0.25">
      <c r="A75" s="121"/>
      <c r="B75" s="91"/>
      <c r="C75" s="91"/>
      <c r="D75" s="91" t="s">
        <v>466</v>
      </c>
      <c r="E75" s="92"/>
      <c r="F75" s="92"/>
      <c r="G75" s="92">
        <v>1</v>
      </c>
      <c r="H75" s="92">
        <v>2</v>
      </c>
      <c r="I75" s="92">
        <v>2</v>
      </c>
      <c r="J75" s="92"/>
      <c r="K75" s="92"/>
      <c r="L75" s="92">
        <v>1</v>
      </c>
      <c r="M75" s="92">
        <v>2</v>
      </c>
      <c r="N75" s="92">
        <v>2</v>
      </c>
      <c r="O75" s="93">
        <v>2</v>
      </c>
      <c r="P75" s="93">
        <v>2</v>
      </c>
      <c r="Q75" s="93">
        <v>2</v>
      </c>
      <c r="R75" s="93">
        <v>2</v>
      </c>
      <c r="S75" s="93">
        <v>2</v>
      </c>
      <c r="T75" s="93">
        <v>2</v>
      </c>
      <c r="U75" s="93">
        <v>2</v>
      </c>
      <c r="V75" s="96">
        <v>2</v>
      </c>
      <c r="W75" s="95">
        <v>2</v>
      </c>
      <c r="X75" s="95">
        <v>2</v>
      </c>
      <c r="Y75" s="93">
        <v>2</v>
      </c>
      <c r="Z75" s="93">
        <v>2</v>
      </c>
    </row>
    <row r="76" spans="1:26" ht="15" customHeight="1" x14ac:dyDescent="0.25">
      <c r="A76" s="121"/>
      <c r="B76" s="91"/>
      <c r="C76" s="91"/>
      <c r="D76" s="91" t="s">
        <v>298</v>
      </c>
      <c r="E76" s="92">
        <v>2</v>
      </c>
      <c r="F76" s="92">
        <v>2</v>
      </c>
      <c r="G76" s="92">
        <v>2</v>
      </c>
      <c r="H76" s="92">
        <v>2</v>
      </c>
      <c r="I76" s="92">
        <v>2</v>
      </c>
      <c r="J76" s="92">
        <v>2</v>
      </c>
      <c r="K76" s="92">
        <v>2</v>
      </c>
      <c r="L76" s="92">
        <v>2</v>
      </c>
      <c r="M76" s="92">
        <v>2</v>
      </c>
      <c r="N76" s="92">
        <v>2</v>
      </c>
      <c r="O76" s="93">
        <v>2</v>
      </c>
      <c r="P76" s="93">
        <v>2</v>
      </c>
      <c r="Q76" s="93">
        <v>2</v>
      </c>
      <c r="R76" s="93">
        <v>2</v>
      </c>
      <c r="S76" s="93">
        <v>2</v>
      </c>
      <c r="T76" s="93">
        <v>2</v>
      </c>
      <c r="U76" s="93">
        <v>3</v>
      </c>
      <c r="V76" s="96">
        <v>3</v>
      </c>
      <c r="W76" s="95">
        <v>2</v>
      </c>
      <c r="X76" s="95">
        <v>3</v>
      </c>
      <c r="Y76" s="93">
        <v>2</v>
      </c>
      <c r="Z76" s="93">
        <v>2</v>
      </c>
    </row>
    <row r="77" spans="1:26" ht="15" customHeight="1" x14ac:dyDescent="0.25">
      <c r="A77" s="121"/>
      <c r="B77" s="91" t="s">
        <v>297</v>
      </c>
      <c r="C77" s="91"/>
      <c r="D77" s="91"/>
      <c r="E77" s="92"/>
      <c r="F77" s="92"/>
      <c r="G77" s="92"/>
      <c r="H77" s="92"/>
      <c r="I77" s="92"/>
      <c r="J77" s="92"/>
      <c r="K77" s="92"/>
      <c r="L77" s="92"/>
      <c r="M77" s="92"/>
      <c r="N77" s="92"/>
      <c r="O77" s="93"/>
      <c r="P77" s="93"/>
      <c r="Q77" s="93"/>
      <c r="R77" s="93"/>
      <c r="S77" s="93"/>
      <c r="T77" s="93"/>
      <c r="U77" s="93"/>
      <c r="V77" s="96"/>
      <c r="W77" s="95"/>
      <c r="X77" s="95"/>
      <c r="Y77" s="93"/>
      <c r="Z77" s="93"/>
    </row>
    <row r="78" spans="1:26" ht="15" customHeight="1" x14ac:dyDescent="0.25">
      <c r="A78" s="121"/>
      <c r="B78" s="91"/>
      <c r="C78" s="91" t="s">
        <v>732</v>
      </c>
      <c r="D78" s="91" t="s">
        <v>260</v>
      </c>
      <c r="E78" s="92">
        <v>1</v>
      </c>
      <c r="F78" s="92">
        <v>2</v>
      </c>
      <c r="G78" s="92">
        <v>2</v>
      </c>
      <c r="H78" s="92">
        <v>3</v>
      </c>
      <c r="I78" s="92">
        <v>3</v>
      </c>
      <c r="J78" s="92">
        <v>1</v>
      </c>
      <c r="K78" s="92">
        <v>1</v>
      </c>
      <c r="L78" s="92">
        <v>1</v>
      </c>
      <c r="M78" s="92">
        <v>1</v>
      </c>
      <c r="N78" s="92">
        <v>1</v>
      </c>
      <c r="O78" s="93">
        <v>3</v>
      </c>
      <c r="P78" s="93">
        <v>3</v>
      </c>
      <c r="Q78" s="93">
        <v>3</v>
      </c>
      <c r="R78" s="93">
        <v>3</v>
      </c>
      <c r="S78" s="93">
        <v>1</v>
      </c>
      <c r="T78" s="93">
        <v>1</v>
      </c>
      <c r="U78" s="93">
        <v>1</v>
      </c>
      <c r="V78" s="93">
        <v>1</v>
      </c>
      <c r="W78" s="95"/>
      <c r="X78" s="95"/>
      <c r="Y78" s="93">
        <v>3</v>
      </c>
      <c r="Z78" s="93">
        <v>3</v>
      </c>
    </row>
    <row r="79" spans="1:26" ht="15" customHeight="1" x14ac:dyDescent="0.25">
      <c r="A79" s="121"/>
      <c r="B79" s="91"/>
      <c r="C79" s="91"/>
      <c r="D79" s="91" t="s">
        <v>470</v>
      </c>
      <c r="E79" s="92"/>
      <c r="F79" s="92">
        <v>2</v>
      </c>
      <c r="G79" s="92">
        <v>2</v>
      </c>
      <c r="H79" s="92">
        <v>3</v>
      </c>
      <c r="I79" s="92">
        <v>3</v>
      </c>
      <c r="J79" s="92"/>
      <c r="K79" s="92"/>
      <c r="L79" s="92"/>
      <c r="M79" s="92"/>
      <c r="N79" s="92"/>
      <c r="O79" s="93">
        <v>3</v>
      </c>
      <c r="P79" s="93">
        <v>3</v>
      </c>
      <c r="Q79" s="93">
        <v>3</v>
      </c>
      <c r="R79" s="93">
        <v>3</v>
      </c>
      <c r="S79" s="93">
        <v>1</v>
      </c>
      <c r="T79" s="93">
        <v>1</v>
      </c>
      <c r="U79" s="93">
        <v>1</v>
      </c>
      <c r="V79" s="93">
        <v>1</v>
      </c>
      <c r="W79" s="95"/>
      <c r="X79" s="95"/>
      <c r="Y79" s="93">
        <v>3</v>
      </c>
      <c r="Z79" s="93">
        <v>3</v>
      </c>
    </row>
    <row r="80" spans="1:26" ht="15" customHeight="1" x14ac:dyDescent="0.25">
      <c r="A80" s="121"/>
      <c r="B80" s="91"/>
      <c r="C80" s="91"/>
      <c r="D80" s="91" t="s">
        <v>45</v>
      </c>
      <c r="E80" s="92">
        <v>1</v>
      </c>
      <c r="F80" s="92">
        <v>2</v>
      </c>
      <c r="G80" s="92">
        <v>2</v>
      </c>
      <c r="H80" s="92">
        <v>3</v>
      </c>
      <c r="I80" s="92">
        <v>3</v>
      </c>
      <c r="J80" s="92">
        <v>1</v>
      </c>
      <c r="K80" s="92">
        <v>1</v>
      </c>
      <c r="L80" s="92">
        <v>1</v>
      </c>
      <c r="M80" s="92">
        <v>1</v>
      </c>
      <c r="N80" s="92">
        <v>1</v>
      </c>
      <c r="O80" s="93">
        <v>3</v>
      </c>
      <c r="P80" s="93">
        <v>3</v>
      </c>
      <c r="Q80" s="93">
        <v>3</v>
      </c>
      <c r="R80" s="93">
        <v>3</v>
      </c>
      <c r="S80" s="93">
        <v>1</v>
      </c>
      <c r="T80" s="93">
        <v>1</v>
      </c>
      <c r="U80" s="93">
        <v>1</v>
      </c>
      <c r="V80" s="93">
        <v>1</v>
      </c>
      <c r="W80" s="95"/>
      <c r="X80" s="95"/>
      <c r="Y80" s="93">
        <v>3</v>
      </c>
      <c r="Z80" s="93">
        <v>3</v>
      </c>
    </row>
    <row r="81" spans="1:26" ht="15" customHeight="1" x14ac:dyDescent="0.25">
      <c r="A81" s="121"/>
      <c r="B81" s="91"/>
      <c r="C81" s="91"/>
      <c r="D81" s="91" t="s">
        <v>46</v>
      </c>
      <c r="E81" s="92">
        <v>1</v>
      </c>
      <c r="F81" s="92">
        <v>2</v>
      </c>
      <c r="G81" s="92">
        <v>2</v>
      </c>
      <c r="H81" s="92">
        <v>3</v>
      </c>
      <c r="I81" s="92">
        <v>3</v>
      </c>
      <c r="J81" s="92"/>
      <c r="K81" s="92"/>
      <c r="L81" s="92"/>
      <c r="M81" s="92"/>
      <c r="N81" s="92"/>
      <c r="O81" s="93">
        <v>3</v>
      </c>
      <c r="P81" s="93">
        <v>3</v>
      </c>
      <c r="Q81" s="93">
        <v>3</v>
      </c>
      <c r="R81" s="93">
        <v>3</v>
      </c>
      <c r="S81" s="93">
        <v>1</v>
      </c>
      <c r="T81" s="93">
        <v>1</v>
      </c>
      <c r="U81" s="93">
        <v>1</v>
      </c>
      <c r="V81" s="93">
        <v>1</v>
      </c>
      <c r="W81" s="95"/>
      <c r="X81" s="95"/>
      <c r="Y81" s="93">
        <v>3</v>
      </c>
      <c r="Z81" s="93">
        <v>3</v>
      </c>
    </row>
    <row r="82" spans="1:26" ht="15" customHeight="1" x14ac:dyDescent="0.25">
      <c r="A82" s="121"/>
      <c r="B82" s="91"/>
      <c r="C82" s="91"/>
      <c r="D82" s="94" t="s">
        <v>47</v>
      </c>
      <c r="E82" s="92">
        <v>1</v>
      </c>
      <c r="F82" s="92">
        <v>2</v>
      </c>
      <c r="G82" s="92">
        <v>2</v>
      </c>
      <c r="H82" s="92">
        <v>3</v>
      </c>
      <c r="I82" s="92">
        <v>3</v>
      </c>
      <c r="J82" s="92">
        <v>1</v>
      </c>
      <c r="K82" s="92">
        <v>1</v>
      </c>
      <c r="L82" s="92">
        <v>1</v>
      </c>
      <c r="M82" s="92">
        <v>1</v>
      </c>
      <c r="N82" s="92">
        <v>1</v>
      </c>
      <c r="O82" s="93">
        <v>3</v>
      </c>
      <c r="P82" s="93">
        <v>3</v>
      </c>
      <c r="Q82" s="93">
        <v>3</v>
      </c>
      <c r="R82" s="93">
        <v>3</v>
      </c>
      <c r="S82" s="93">
        <v>1</v>
      </c>
      <c r="T82" s="93">
        <v>1</v>
      </c>
      <c r="U82" s="93">
        <v>1</v>
      </c>
      <c r="V82" s="93">
        <v>1</v>
      </c>
      <c r="W82" s="95"/>
      <c r="X82" s="95"/>
      <c r="Y82" s="93">
        <v>3</v>
      </c>
      <c r="Z82" s="93">
        <v>3</v>
      </c>
    </row>
    <row r="83" spans="1:26" ht="15" customHeight="1" x14ac:dyDescent="0.25">
      <c r="A83" s="121"/>
      <c r="B83" s="91"/>
      <c r="C83" s="91" t="s">
        <v>733</v>
      </c>
      <c r="D83" s="94" t="s">
        <v>48</v>
      </c>
      <c r="E83" s="92">
        <v>1</v>
      </c>
      <c r="F83" s="92">
        <v>2</v>
      </c>
      <c r="G83" s="92">
        <v>2</v>
      </c>
      <c r="H83" s="92">
        <v>3</v>
      </c>
      <c r="I83" s="92">
        <v>3</v>
      </c>
      <c r="J83" s="92">
        <v>1</v>
      </c>
      <c r="K83" s="92">
        <v>2</v>
      </c>
      <c r="L83" s="92">
        <v>2</v>
      </c>
      <c r="M83" s="92">
        <v>3</v>
      </c>
      <c r="N83" s="92">
        <v>3</v>
      </c>
      <c r="O83" s="93">
        <v>3</v>
      </c>
      <c r="P83" s="93">
        <v>3</v>
      </c>
      <c r="Q83" s="93">
        <v>3</v>
      </c>
      <c r="R83" s="93">
        <v>3</v>
      </c>
      <c r="S83" s="93">
        <v>1</v>
      </c>
      <c r="T83" s="93">
        <v>1</v>
      </c>
      <c r="U83" s="93">
        <v>1</v>
      </c>
      <c r="V83" s="93">
        <v>1</v>
      </c>
      <c r="W83" s="95"/>
      <c r="X83" s="95"/>
      <c r="Y83" s="93">
        <v>3</v>
      </c>
      <c r="Z83" s="93">
        <v>3</v>
      </c>
    </row>
    <row r="84" spans="1:26" ht="15" customHeight="1" x14ac:dyDescent="0.25">
      <c r="A84" s="121"/>
      <c r="B84" s="91"/>
      <c r="C84" s="91"/>
      <c r="D84" s="91" t="s">
        <v>261</v>
      </c>
      <c r="E84" s="92"/>
      <c r="F84" s="92">
        <v>2</v>
      </c>
      <c r="G84" s="92">
        <v>2</v>
      </c>
      <c r="H84" s="92">
        <v>3</v>
      </c>
      <c r="I84" s="92">
        <v>3</v>
      </c>
      <c r="J84" s="92">
        <v>1</v>
      </c>
      <c r="K84" s="92">
        <v>2</v>
      </c>
      <c r="L84" s="92">
        <v>2</v>
      </c>
      <c r="M84" s="92">
        <v>3</v>
      </c>
      <c r="N84" s="92">
        <v>3</v>
      </c>
      <c r="O84" s="93">
        <v>3</v>
      </c>
      <c r="P84" s="93">
        <v>3</v>
      </c>
      <c r="Q84" s="93">
        <v>3</v>
      </c>
      <c r="R84" s="93">
        <v>3</v>
      </c>
      <c r="S84" s="93">
        <v>1</v>
      </c>
      <c r="T84" s="93">
        <v>1</v>
      </c>
      <c r="U84" s="93">
        <v>1</v>
      </c>
      <c r="V84" s="93">
        <v>1</v>
      </c>
      <c r="W84" s="95"/>
      <c r="X84" s="95"/>
      <c r="Y84" s="93">
        <v>3</v>
      </c>
      <c r="Z84" s="93">
        <v>3</v>
      </c>
    </row>
    <row r="85" spans="1:26" x14ac:dyDescent="0.25">
      <c r="A85" s="121"/>
      <c r="B85" s="91"/>
      <c r="C85" s="91"/>
      <c r="D85" s="91" t="s">
        <v>262</v>
      </c>
      <c r="E85" s="92"/>
      <c r="F85" s="92">
        <v>2</v>
      </c>
      <c r="G85" s="92">
        <v>2</v>
      </c>
      <c r="H85" s="92">
        <v>3</v>
      </c>
      <c r="I85" s="92">
        <v>3</v>
      </c>
      <c r="J85" s="92">
        <v>1</v>
      </c>
      <c r="K85" s="92">
        <v>2</v>
      </c>
      <c r="L85" s="92">
        <v>2</v>
      </c>
      <c r="M85" s="92">
        <v>3</v>
      </c>
      <c r="N85" s="92">
        <v>3</v>
      </c>
      <c r="O85" s="93">
        <v>3</v>
      </c>
      <c r="P85" s="93">
        <v>3</v>
      </c>
      <c r="Q85" s="93">
        <v>3</v>
      </c>
      <c r="R85" s="93">
        <v>3</v>
      </c>
      <c r="S85" s="93">
        <v>1</v>
      </c>
      <c r="T85" s="93">
        <v>1</v>
      </c>
      <c r="U85" s="93">
        <v>1</v>
      </c>
      <c r="V85" s="93">
        <v>1</v>
      </c>
      <c r="W85" s="95"/>
      <c r="X85" s="95"/>
      <c r="Y85" s="93">
        <v>3</v>
      </c>
      <c r="Z85" s="93">
        <v>3</v>
      </c>
    </row>
    <row r="86" spans="1:26" ht="15" customHeight="1" x14ac:dyDescent="0.25">
      <c r="A86" s="121"/>
      <c r="B86" s="91"/>
      <c r="C86" s="91"/>
      <c r="D86" s="91" t="s">
        <v>49</v>
      </c>
      <c r="E86" s="92">
        <v>1</v>
      </c>
      <c r="F86" s="92">
        <v>2</v>
      </c>
      <c r="G86" s="92">
        <v>2</v>
      </c>
      <c r="H86" s="92">
        <v>3</v>
      </c>
      <c r="I86" s="92">
        <v>3</v>
      </c>
      <c r="J86" s="92">
        <v>1</v>
      </c>
      <c r="K86" s="92">
        <v>2</v>
      </c>
      <c r="L86" s="92">
        <v>2</v>
      </c>
      <c r="M86" s="92">
        <v>3</v>
      </c>
      <c r="N86" s="92">
        <v>3</v>
      </c>
      <c r="O86" s="93">
        <v>3</v>
      </c>
      <c r="P86" s="93">
        <v>3</v>
      </c>
      <c r="Q86" s="93">
        <v>3</v>
      </c>
      <c r="R86" s="93">
        <v>3</v>
      </c>
      <c r="S86" s="93">
        <v>1</v>
      </c>
      <c r="T86" s="93">
        <v>1</v>
      </c>
      <c r="U86" s="93">
        <v>1</v>
      </c>
      <c r="V86" s="93">
        <v>1</v>
      </c>
      <c r="W86" s="95"/>
      <c r="X86" s="95"/>
      <c r="Y86" s="93">
        <v>3</v>
      </c>
      <c r="Z86" s="93">
        <v>3</v>
      </c>
    </row>
    <row r="87" spans="1:26" ht="15" customHeight="1" x14ac:dyDescent="0.25">
      <c r="A87" s="121"/>
      <c r="B87" s="91" t="s">
        <v>50</v>
      </c>
      <c r="C87" s="91"/>
      <c r="D87" s="91"/>
      <c r="E87" s="92"/>
      <c r="F87" s="92"/>
      <c r="G87" s="92"/>
      <c r="H87" s="92"/>
      <c r="I87" s="92"/>
      <c r="J87" s="92"/>
      <c r="K87" s="92"/>
      <c r="L87" s="92"/>
      <c r="M87" s="92"/>
      <c r="N87" s="92"/>
      <c r="O87" s="93"/>
      <c r="P87" s="93"/>
      <c r="Q87" s="93"/>
      <c r="R87" s="93"/>
      <c r="S87" s="93"/>
      <c r="T87" s="93"/>
      <c r="U87" s="93"/>
      <c r="V87" s="96"/>
      <c r="W87" s="95"/>
      <c r="X87" s="95"/>
      <c r="Y87" s="93"/>
      <c r="Z87" s="93"/>
    </row>
    <row r="88" spans="1:26" ht="15" customHeight="1" x14ac:dyDescent="0.25">
      <c r="A88" s="121"/>
      <c r="B88" s="91"/>
      <c r="C88" s="91" t="s">
        <v>734</v>
      </c>
      <c r="D88" s="91" t="s">
        <v>51</v>
      </c>
      <c r="E88" s="92">
        <v>2</v>
      </c>
      <c r="F88" s="92">
        <v>2</v>
      </c>
      <c r="G88" s="92">
        <v>3</v>
      </c>
      <c r="H88" s="92">
        <v>3</v>
      </c>
      <c r="I88" s="92">
        <v>3</v>
      </c>
      <c r="J88" s="92">
        <v>1</v>
      </c>
      <c r="K88" s="92">
        <v>1</v>
      </c>
      <c r="L88" s="92">
        <v>2</v>
      </c>
      <c r="M88" s="92">
        <v>2</v>
      </c>
      <c r="N88" s="92">
        <v>2</v>
      </c>
      <c r="O88" s="93">
        <v>3</v>
      </c>
      <c r="P88" s="93">
        <v>3</v>
      </c>
      <c r="Q88" s="93">
        <v>3</v>
      </c>
      <c r="R88" s="93">
        <v>3</v>
      </c>
      <c r="S88" s="93">
        <v>1</v>
      </c>
      <c r="T88" s="93">
        <v>1</v>
      </c>
      <c r="U88" s="93">
        <v>1</v>
      </c>
      <c r="V88" s="93">
        <v>1</v>
      </c>
      <c r="W88" s="95"/>
      <c r="X88" s="95"/>
      <c r="Y88" s="93">
        <v>3</v>
      </c>
      <c r="Z88" s="93">
        <v>3</v>
      </c>
    </row>
    <row r="89" spans="1:26" ht="15" customHeight="1" x14ac:dyDescent="0.25">
      <c r="A89" s="121"/>
      <c r="B89" s="91"/>
      <c r="C89" s="91"/>
      <c r="D89" s="91" t="s">
        <v>52</v>
      </c>
      <c r="E89" s="92">
        <v>1</v>
      </c>
      <c r="F89" s="92">
        <v>2</v>
      </c>
      <c r="G89" s="92">
        <v>2</v>
      </c>
      <c r="H89" s="92">
        <v>3</v>
      </c>
      <c r="I89" s="92">
        <v>3</v>
      </c>
      <c r="J89" s="92"/>
      <c r="K89" s="92"/>
      <c r="L89" s="92"/>
      <c r="M89" s="92"/>
      <c r="N89" s="92"/>
      <c r="O89" s="93">
        <v>3</v>
      </c>
      <c r="P89" s="93">
        <v>3</v>
      </c>
      <c r="Q89" s="93">
        <v>3</v>
      </c>
      <c r="R89" s="93">
        <v>3</v>
      </c>
      <c r="S89" s="93">
        <v>1</v>
      </c>
      <c r="T89" s="93">
        <v>1</v>
      </c>
      <c r="U89" s="93">
        <v>1</v>
      </c>
      <c r="V89" s="93">
        <v>1</v>
      </c>
      <c r="W89" s="95"/>
      <c r="X89" s="95"/>
      <c r="Y89" s="93">
        <v>3</v>
      </c>
      <c r="Z89" s="93">
        <v>3</v>
      </c>
    </row>
    <row r="90" spans="1:26" ht="15" customHeight="1" x14ac:dyDescent="0.25">
      <c r="A90" s="121"/>
      <c r="B90" s="91"/>
      <c r="C90" s="91"/>
      <c r="D90" s="91" t="s">
        <v>53</v>
      </c>
      <c r="E90" s="92">
        <v>1</v>
      </c>
      <c r="F90" s="92">
        <v>2</v>
      </c>
      <c r="G90" s="92">
        <v>2</v>
      </c>
      <c r="H90" s="92">
        <v>3</v>
      </c>
      <c r="I90" s="92">
        <v>3</v>
      </c>
      <c r="J90" s="92"/>
      <c r="K90" s="92"/>
      <c r="L90" s="92"/>
      <c r="M90" s="92"/>
      <c r="N90" s="92"/>
      <c r="O90" s="93">
        <v>3</v>
      </c>
      <c r="P90" s="93">
        <v>3</v>
      </c>
      <c r="Q90" s="93">
        <v>3</v>
      </c>
      <c r="R90" s="93">
        <v>3</v>
      </c>
      <c r="S90" s="93">
        <v>1</v>
      </c>
      <c r="T90" s="93">
        <v>1</v>
      </c>
      <c r="U90" s="93">
        <v>1</v>
      </c>
      <c r="V90" s="93">
        <v>1</v>
      </c>
      <c r="W90" s="95"/>
      <c r="X90" s="95"/>
      <c r="Y90" s="93">
        <v>3</v>
      </c>
      <c r="Z90" s="93">
        <v>3</v>
      </c>
    </row>
    <row r="91" spans="1:26" ht="15" customHeight="1" x14ac:dyDescent="0.25">
      <c r="A91" s="121"/>
      <c r="B91" s="91"/>
      <c r="C91" s="91"/>
      <c r="D91" s="91" t="s">
        <v>54</v>
      </c>
      <c r="E91" s="92">
        <v>1</v>
      </c>
      <c r="F91" s="92">
        <v>2</v>
      </c>
      <c r="G91" s="92">
        <v>2</v>
      </c>
      <c r="H91" s="92">
        <v>3</v>
      </c>
      <c r="I91" s="92">
        <v>3</v>
      </c>
      <c r="J91" s="92"/>
      <c r="K91" s="92"/>
      <c r="L91" s="92"/>
      <c r="M91" s="92"/>
      <c r="N91" s="92"/>
      <c r="O91" s="93">
        <v>3</v>
      </c>
      <c r="P91" s="93">
        <v>3</v>
      </c>
      <c r="Q91" s="93">
        <v>3</v>
      </c>
      <c r="R91" s="93">
        <v>3</v>
      </c>
      <c r="S91" s="93">
        <v>1</v>
      </c>
      <c r="T91" s="93">
        <v>1</v>
      </c>
      <c r="U91" s="93">
        <v>1</v>
      </c>
      <c r="V91" s="93">
        <v>1</v>
      </c>
      <c r="W91" s="95"/>
      <c r="X91" s="95"/>
      <c r="Y91" s="93">
        <v>3</v>
      </c>
      <c r="Z91" s="93">
        <v>3</v>
      </c>
    </row>
    <row r="92" spans="1:26" ht="15" customHeight="1" x14ac:dyDescent="0.25">
      <c r="A92" s="121"/>
      <c r="B92" s="91"/>
      <c r="C92" s="91"/>
      <c r="D92" s="91" t="s">
        <v>55</v>
      </c>
      <c r="E92" s="92"/>
      <c r="F92" s="92">
        <v>1</v>
      </c>
      <c r="G92" s="92">
        <v>1</v>
      </c>
      <c r="H92" s="92">
        <v>3</v>
      </c>
      <c r="I92" s="92">
        <v>3</v>
      </c>
      <c r="J92" s="92">
        <v>1</v>
      </c>
      <c r="K92" s="92">
        <v>1</v>
      </c>
      <c r="L92" s="92">
        <v>1</v>
      </c>
      <c r="M92" s="92">
        <v>2</v>
      </c>
      <c r="N92" s="92">
        <v>2</v>
      </c>
      <c r="O92" s="93">
        <v>3</v>
      </c>
      <c r="P92" s="93">
        <v>3</v>
      </c>
      <c r="Q92" s="93">
        <v>3</v>
      </c>
      <c r="R92" s="93">
        <v>3</v>
      </c>
      <c r="S92" s="93">
        <v>1</v>
      </c>
      <c r="T92" s="93">
        <v>1</v>
      </c>
      <c r="U92" s="93">
        <v>1</v>
      </c>
      <c r="V92" s="93">
        <v>1</v>
      </c>
      <c r="W92" s="95"/>
      <c r="X92" s="95"/>
      <c r="Y92" s="93">
        <v>3</v>
      </c>
      <c r="Z92" s="93">
        <v>3</v>
      </c>
    </row>
    <row r="93" spans="1:26" ht="15" customHeight="1" x14ac:dyDescent="0.25">
      <c r="A93" s="121"/>
      <c r="B93" s="91"/>
      <c r="C93" s="91"/>
      <c r="D93" s="91" t="s">
        <v>485</v>
      </c>
      <c r="E93" s="92"/>
      <c r="F93" s="92">
        <v>1</v>
      </c>
      <c r="G93" s="92">
        <v>2</v>
      </c>
      <c r="H93" s="92">
        <v>3</v>
      </c>
      <c r="I93" s="92">
        <v>3</v>
      </c>
      <c r="J93" s="92">
        <v>1</v>
      </c>
      <c r="K93" s="92">
        <v>1</v>
      </c>
      <c r="L93" s="92">
        <v>1</v>
      </c>
      <c r="M93" s="92">
        <v>1</v>
      </c>
      <c r="N93" s="92">
        <v>1</v>
      </c>
      <c r="O93" s="93">
        <v>3</v>
      </c>
      <c r="P93" s="93">
        <v>3</v>
      </c>
      <c r="Q93" s="93">
        <v>3</v>
      </c>
      <c r="R93" s="93">
        <v>3</v>
      </c>
      <c r="S93" s="93">
        <v>1</v>
      </c>
      <c r="T93" s="93">
        <v>1</v>
      </c>
      <c r="U93" s="93">
        <v>1</v>
      </c>
      <c r="V93" s="93">
        <v>1</v>
      </c>
      <c r="W93" s="95"/>
      <c r="X93" s="95"/>
      <c r="Y93" s="93">
        <v>3</v>
      </c>
      <c r="Z93" s="93">
        <v>3</v>
      </c>
    </row>
    <row r="94" spans="1:26" ht="15" customHeight="1" x14ac:dyDescent="0.25">
      <c r="A94" s="121"/>
      <c r="B94" s="91"/>
      <c r="C94" s="91"/>
      <c r="D94" s="91" t="s">
        <v>263</v>
      </c>
      <c r="E94" s="92">
        <v>1</v>
      </c>
      <c r="F94" s="92">
        <v>2</v>
      </c>
      <c r="G94" s="92">
        <v>2</v>
      </c>
      <c r="H94" s="92">
        <v>3</v>
      </c>
      <c r="I94" s="92">
        <v>3</v>
      </c>
      <c r="J94" s="92">
        <v>1</v>
      </c>
      <c r="K94" s="92">
        <v>2</v>
      </c>
      <c r="L94" s="92">
        <v>2</v>
      </c>
      <c r="M94" s="92">
        <v>3</v>
      </c>
      <c r="N94" s="92">
        <v>3</v>
      </c>
      <c r="O94" s="93">
        <v>3</v>
      </c>
      <c r="P94" s="93">
        <v>3</v>
      </c>
      <c r="Q94" s="93">
        <v>3</v>
      </c>
      <c r="R94" s="93">
        <v>3</v>
      </c>
      <c r="S94" s="93">
        <v>1</v>
      </c>
      <c r="T94" s="93">
        <v>1</v>
      </c>
      <c r="U94" s="93">
        <v>1</v>
      </c>
      <c r="V94" s="93">
        <v>1</v>
      </c>
      <c r="W94" s="95"/>
      <c r="X94" s="95"/>
      <c r="Y94" s="93">
        <v>3</v>
      </c>
      <c r="Z94" s="93">
        <v>3</v>
      </c>
    </row>
    <row r="95" spans="1:26" x14ac:dyDescent="0.25">
      <c r="A95" s="121"/>
      <c r="B95" s="91"/>
      <c r="C95" s="91"/>
      <c r="D95" s="91" t="s">
        <v>488</v>
      </c>
      <c r="E95" s="92">
        <v>1</v>
      </c>
      <c r="F95" s="92">
        <v>1</v>
      </c>
      <c r="G95" s="92">
        <v>2</v>
      </c>
      <c r="H95" s="92">
        <v>3</v>
      </c>
      <c r="I95" s="92">
        <v>3</v>
      </c>
      <c r="J95" s="92">
        <v>1</v>
      </c>
      <c r="K95" s="92">
        <v>2</v>
      </c>
      <c r="L95" s="92">
        <v>2</v>
      </c>
      <c r="M95" s="92">
        <v>3</v>
      </c>
      <c r="N95" s="92">
        <v>3</v>
      </c>
      <c r="O95" s="93">
        <v>3</v>
      </c>
      <c r="P95" s="93">
        <v>3</v>
      </c>
      <c r="Q95" s="93">
        <v>3</v>
      </c>
      <c r="R95" s="93">
        <v>3</v>
      </c>
      <c r="S95" s="93">
        <v>1</v>
      </c>
      <c r="T95" s="93">
        <v>1</v>
      </c>
      <c r="U95" s="93">
        <v>1</v>
      </c>
      <c r="V95" s="93">
        <v>1</v>
      </c>
      <c r="W95" s="95"/>
      <c r="X95" s="95"/>
      <c r="Y95" s="93">
        <v>3</v>
      </c>
      <c r="Z95" s="93">
        <v>3</v>
      </c>
    </row>
    <row r="96" spans="1:26" ht="15" customHeight="1" x14ac:dyDescent="0.25">
      <c r="A96" s="121"/>
      <c r="B96" s="91"/>
      <c r="C96" s="91"/>
      <c r="D96" s="91" t="s">
        <v>313</v>
      </c>
      <c r="E96" s="92"/>
      <c r="F96" s="92">
        <v>1</v>
      </c>
      <c r="G96" s="92">
        <v>2</v>
      </c>
      <c r="H96" s="92">
        <v>3</v>
      </c>
      <c r="I96" s="92">
        <v>3</v>
      </c>
      <c r="J96" s="92">
        <v>1</v>
      </c>
      <c r="K96" s="92">
        <v>2</v>
      </c>
      <c r="L96" s="92">
        <v>2</v>
      </c>
      <c r="M96" s="92">
        <v>3</v>
      </c>
      <c r="N96" s="92">
        <v>3</v>
      </c>
      <c r="O96" s="93">
        <v>3</v>
      </c>
      <c r="P96" s="93">
        <v>3</v>
      </c>
      <c r="Q96" s="93">
        <v>3</v>
      </c>
      <c r="R96" s="93">
        <v>3</v>
      </c>
      <c r="S96" s="93">
        <v>1</v>
      </c>
      <c r="T96" s="93">
        <v>1</v>
      </c>
      <c r="U96" s="93">
        <v>1</v>
      </c>
      <c r="V96" s="93">
        <v>1</v>
      </c>
      <c r="W96" s="95"/>
      <c r="X96" s="95"/>
      <c r="Y96" s="93">
        <v>3</v>
      </c>
      <c r="Z96" s="93">
        <v>3</v>
      </c>
    </row>
    <row r="97" spans="1:26" ht="15" customHeight="1" x14ac:dyDescent="0.25">
      <c r="A97" s="121"/>
      <c r="B97" s="91" t="s">
        <v>56</v>
      </c>
      <c r="C97" s="91"/>
      <c r="D97" s="91"/>
      <c r="E97" s="92"/>
      <c r="F97" s="92"/>
      <c r="G97" s="92"/>
      <c r="H97" s="92"/>
      <c r="I97" s="92"/>
      <c r="J97" s="92"/>
      <c r="K97" s="92"/>
      <c r="L97" s="92"/>
      <c r="M97" s="92"/>
      <c r="N97" s="92"/>
      <c r="O97" s="93"/>
      <c r="P97" s="93"/>
      <c r="Q97" s="93"/>
      <c r="R97" s="93"/>
      <c r="S97" s="93"/>
      <c r="T97" s="93"/>
      <c r="U97" s="93"/>
      <c r="V97" s="96"/>
      <c r="W97" s="95"/>
      <c r="X97" s="95"/>
      <c r="Y97" s="93"/>
      <c r="Z97" s="93"/>
    </row>
    <row r="98" spans="1:26" ht="15" customHeight="1" x14ac:dyDescent="0.25">
      <c r="A98" s="121"/>
      <c r="B98" s="91"/>
      <c r="C98" s="91" t="s">
        <v>56</v>
      </c>
      <c r="D98" s="91" t="s">
        <v>57</v>
      </c>
      <c r="E98" s="92"/>
      <c r="F98" s="92"/>
      <c r="G98" s="92">
        <v>2</v>
      </c>
      <c r="H98" s="92">
        <v>3</v>
      </c>
      <c r="I98" s="92">
        <v>3</v>
      </c>
      <c r="J98" s="92">
        <v>1</v>
      </c>
      <c r="K98" s="92">
        <v>2</v>
      </c>
      <c r="L98" s="92">
        <v>2</v>
      </c>
      <c r="M98" s="92">
        <v>2</v>
      </c>
      <c r="N98" s="92">
        <v>2</v>
      </c>
      <c r="O98" s="93">
        <v>3</v>
      </c>
      <c r="P98" s="93">
        <v>3</v>
      </c>
      <c r="Q98" s="93">
        <v>3</v>
      </c>
      <c r="R98" s="93">
        <v>3</v>
      </c>
      <c r="S98" s="93">
        <v>2</v>
      </c>
      <c r="T98" s="93">
        <v>2</v>
      </c>
      <c r="U98" s="93">
        <v>2</v>
      </c>
      <c r="V98" s="93">
        <v>2</v>
      </c>
      <c r="W98" s="95"/>
      <c r="X98" s="95"/>
      <c r="Y98" s="93">
        <v>3</v>
      </c>
      <c r="Z98" s="93">
        <v>3</v>
      </c>
    </row>
    <row r="99" spans="1:26" ht="15" customHeight="1" x14ac:dyDescent="0.25">
      <c r="A99" s="121"/>
      <c r="B99" s="91"/>
      <c r="C99" s="91"/>
      <c r="D99" s="91" t="s">
        <v>58</v>
      </c>
      <c r="E99" s="92"/>
      <c r="F99" s="92"/>
      <c r="G99" s="92">
        <v>2</v>
      </c>
      <c r="H99" s="92">
        <v>3</v>
      </c>
      <c r="I99" s="92">
        <v>3</v>
      </c>
      <c r="J99" s="92"/>
      <c r="K99" s="92"/>
      <c r="L99" s="92"/>
      <c r="M99" s="92">
        <v>1</v>
      </c>
      <c r="N99" s="92">
        <v>1</v>
      </c>
      <c r="O99" s="93">
        <v>3</v>
      </c>
      <c r="P99" s="93">
        <v>3</v>
      </c>
      <c r="Q99" s="93">
        <v>3</v>
      </c>
      <c r="R99" s="93">
        <v>3</v>
      </c>
      <c r="S99" s="93">
        <v>1</v>
      </c>
      <c r="T99" s="93">
        <v>1</v>
      </c>
      <c r="U99" s="93">
        <v>1</v>
      </c>
      <c r="V99" s="93">
        <v>1</v>
      </c>
      <c r="W99" s="95"/>
      <c r="X99" s="95"/>
      <c r="Y99" s="93">
        <v>3</v>
      </c>
      <c r="Z99" s="93">
        <v>3</v>
      </c>
    </row>
    <row r="100" spans="1:26" ht="15" customHeight="1" x14ac:dyDescent="0.25">
      <c r="A100" s="121"/>
      <c r="B100" s="91"/>
      <c r="C100" s="91"/>
      <c r="D100" s="91" t="s">
        <v>59</v>
      </c>
      <c r="E100" s="92"/>
      <c r="F100" s="92"/>
      <c r="G100" s="92">
        <v>2</v>
      </c>
      <c r="H100" s="92">
        <v>3</v>
      </c>
      <c r="I100" s="92">
        <v>3</v>
      </c>
      <c r="J100" s="92"/>
      <c r="K100" s="92"/>
      <c r="L100" s="92"/>
      <c r="M100" s="92">
        <v>1</v>
      </c>
      <c r="N100" s="92">
        <v>1</v>
      </c>
      <c r="O100" s="93">
        <v>3</v>
      </c>
      <c r="P100" s="93">
        <v>3</v>
      </c>
      <c r="Q100" s="93">
        <v>3</v>
      </c>
      <c r="R100" s="93">
        <v>3</v>
      </c>
      <c r="S100" s="93">
        <v>1</v>
      </c>
      <c r="T100" s="93">
        <v>1</v>
      </c>
      <c r="U100" s="93">
        <v>1</v>
      </c>
      <c r="V100" s="93">
        <v>1</v>
      </c>
      <c r="W100" s="95"/>
      <c r="X100" s="95"/>
      <c r="Y100" s="93">
        <v>3</v>
      </c>
      <c r="Z100" s="93">
        <v>3</v>
      </c>
    </row>
    <row r="101" spans="1:26" ht="15" customHeight="1" x14ac:dyDescent="0.25">
      <c r="A101" s="121"/>
      <c r="B101" s="91"/>
      <c r="C101" s="91"/>
      <c r="D101" s="91" t="s">
        <v>60</v>
      </c>
      <c r="E101" s="92"/>
      <c r="F101" s="92"/>
      <c r="G101" s="92">
        <v>2</v>
      </c>
      <c r="H101" s="92">
        <v>3</v>
      </c>
      <c r="I101" s="92">
        <v>3</v>
      </c>
      <c r="J101" s="92"/>
      <c r="K101" s="92"/>
      <c r="L101" s="92"/>
      <c r="M101" s="92">
        <v>1</v>
      </c>
      <c r="N101" s="92">
        <v>1</v>
      </c>
      <c r="O101" s="93">
        <v>3</v>
      </c>
      <c r="P101" s="93">
        <v>3</v>
      </c>
      <c r="Q101" s="93">
        <v>3</v>
      </c>
      <c r="R101" s="93">
        <v>3</v>
      </c>
      <c r="S101" s="93">
        <v>1</v>
      </c>
      <c r="T101" s="93">
        <v>1</v>
      </c>
      <c r="U101" s="93">
        <v>1</v>
      </c>
      <c r="V101" s="93">
        <v>1</v>
      </c>
      <c r="W101" s="95"/>
      <c r="X101" s="95"/>
      <c r="Y101" s="93">
        <v>3</v>
      </c>
      <c r="Z101" s="93">
        <v>3</v>
      </c>
    </row>
    <row r="102" spans="1:26" ht="15" customHeight="1" x14ac:dyDescent="0.25">
      <c r="A102" s="121"/>
      <c r="B102" s="91"/>
      <c r="C102" s="91"/>
      <c r="D102" s="91" t="s">
        <v>61</v>
      </c>
      <c r="E102" s="92"/>
      <c r="F102" s="92"/>
      <c r="G102" s="92">
        <v>2</v>
      </c>
      <c r="H102" s="92">
        <v>3</v>
      </c>
      <c r="I102" s="92">
        <v>3</v>
      </c>
      <c r="J102" s="92"/>
      <c r="K102" s="92"/>
      <c r="L102" s="92"/>
      <c r="M102" s="92">
        <v>1</v>
      </c>
      <c r="N102" s="92">
        <v>1</v>
      </c>
      <c r="O102" s="93">
        <v>3</v>
      </c>
      <c r="P102" s="93">
        <v>3</v>
      </c>
      <c r="Q102" s="93">
        <v>3</v>
      </c>
      <c r="R102" s="93">
        <v>3</v>
      </c>
      <c r="S102" s="93">
        <v>1</v>
      </c>
      <c r="T102" s="93">
        <v>1</v>
      </c>
      <c r="U102" s="93">
        <v>1</v>
      </c>
      <c r="V102" s="93">
        <v>1</v>
      </c>
      <c r="W102" s="95"/>
      <c r="X102" s="95"/>
      <c r="Y102" s="93">
        <v>3</v>
      </c>
      <c r="Z102" s="93">
        <v>3</v>
      </c>
    </row>
    <row r="103" spans="1:26" ht="15" customHeight="1" x14ac:dyDescent="0.25">
      <c r="A103" s="121"/>
      <c r="B103" s="91"/>
      <c r="C103" s="91"/>
      <c r="D103" s="91" t="s">
        <v>62</v>
      </c>
      <c r="E103" s="92"/>
      <c r="F103" s="92"/>
      <c r="G103" s="92">
        <v>2</v>
      </c>
      <c r="H103" s="92">
        <v>3</v>
      </c>
      <c r="I103" s="92">
        <v>3</v>
      </c>
      <c r="J103" s="92"/>
      <c r="K103" s="92"/>
      <c r="L103" s="92"/>
      <c r="M103" s="92">
        <v>1</v>
      </c>
      <c r="N103" s="92">
        <v>1</v>
      </c>
      <c r="O103" s="93">
        <v>3</v>
      </c>
      <c r="P103" s="93">
        <v>3</v>
      </c>
      <c r="Q103" s="93">
        <v>3</v>
      </c>
      <c r="R103" s="93">
        <v>3</v>
      </c>
      <c r="S103" s="93">
        <v>1</v>
      </c>
      <c r="T103" s="93">
        <v>1</v>
      </c>
      <c r="U103" s="93">
        <v>1</v>
      </c>
      <c r="V103" s="93">
        <v>1</v>
      </c>
      <c r="W103" s="95"/>
      <c r="X103" s="95"/>
      <c r="Y103" s="93">
        <v>3</v>
      </c>
      <c r="Z103" s="93">
        <v>3</v>
      </c>
    </row>
    <row r="104" spans="1:26" ht="15" customHeight="1" x14ac:dyDescent="0.25">
      <c r="A104" s="121"/>
      <c r="B104" s="91"/>
      <c r="C104" s="91"/>
      <c r="D104" s="91" t="s">
        <v>63</v>
      </c>
      <c r="E104" s="92"/>
      <c r="F104" s="92"/>
      <c r="G104" s="92">
        <v>1</v>
      </c>
      <c r="H104" s="92">
        <v>3</v>
      </c>
      <c r="I104" s="92">
        <v>3</v>
      </c>
      <c r="J104" s="92"/>
      <c r="K104" s="92"/>
      <c r="L104" s="92"/>
      <c r="M104" s="92">
        <v>1</v>
      </c>
      <c r="N104" s="92">
        <v>1</v>
      </c>
      <c r="O104" s="93">
        <v>3</v>
      </c>
      <c r="P104" s="93">
        <v>3</v>
      </c>
      <c r="Q104" s="93">
        <v>3</v>
      </c>
      <c r="R104" s="93">
        <v>3</v>
      </c>
      <c r="S104" s="93">
        <v>1</v>
      </c>
      <c r="T104" s="93">
        <v>1</v>
      </c>
      <c r="U104" s="93">
        <v>1</v>
      </c>
      <c r="V104" s="93">
        <v>1</v>
      </c>
      <c r="W104" s="95"/>
      <c r="X104" s="95"/>
      <c r="Y104" s="93">
        <v>3</v>
      </c>
      <c r="Z104" s="93">
        <v>3</v>
      </c>
    </row>
    <row r="105" spans="1:26" x14ac:dyDescent="0.25">
      <c r="A105" s="121"/>
      <c r="B105" s="91"/>
      <c r="C105" s="91"/>
      <c r="D105" s="91" t="s">
        <v>64</v>
      </c>
      <c r="E105" s="92"/>
      <c r="F105" s="92"/>
      <c r="G105" s="92">
        <v>2</v>
      </c>
      <c r="H105" s="92">
        <v>3</v>
      </c>
      <c r="I105" s="92">
        <v>3</v>
      </c>
      <c r="J105" s="92">
        <v>1</v>
      </c>
      <c r="K105" s="92">
        <v>2</v>
      </c>
      <c r="L105" s="92">
        <v>2</v>
      </c>
      <c r="M105" s="92">
        <v>3</v>
      </c>
      <c r="N105" s="92">
        <v>3</v>
      </c>
      <c r="O105" s="93">
        <v>3</v>
      </c>
      <c r="P105" s="93">
        <v>3</v>
      </c>
      <c r="Q105" s="93">
        <v>3</v>
      </c>
      <c r="R105" s="93">
        <v>3</v>
      </c>
      <c r="S105" s="93">
        <v>1</v>
      </c>
      <c r="T105" s="93">
        <v>1</v>
      </c>
      <c r="U105" s="93">
        <v>1</v>
      </c>
      <c r="V105" s="93">
        <v>1</v>
      </c>
      <c r="W105" s="95"/>
      <c r="X105" s="95"/>
      <c r="Y105" s="93">
        <v>3</v>
      </c>
      <c r="Z105" s="93">
        <v>3</v>
      </c>
    </row>
    <row r="106" spans="1:26" ht="15" customHeight="1" x14ac:dyDescent="0.25">
      <c r="A106" s="121"/>
      <c r="B106" s="91"/>
      <c r="C106" s="91"/>
      <c r="D106" s="91" t="s">
        <v>65</v>
      </c>
      <c r="E106" s="92"/>
      <c r="F106" s="92"/>
      <c r="G106" s="92">
        <v>2</v>
      </c>
      <c r="H106" s="92">
        <v>3</v>
      </c>
      <c r="I106" s="92">
        <v>3</v>
      </c>
      <c r="J106" s="92">
        <v>1</v>
      </c>
      <c r="K106" s="92">
        <v>2</v>
      </c>
      <c r="L106" s="92">
        <v>2</v>
      </c>
      <c r="M106" s="92">
        <v>3</v>
      </c>
      <c r="N106" s="92">
        <v>3</v>
      </c>
      <c r="O106" s="96">
        <v>3</v>
      </c>
      <c r="P106" s="96">
        <v>3</v>
      </c>
      <c r="Q106" s="96">
        <v>3</v>
      </c>
      <c r="R106" s="96">
        <v>3</v>
      </c>
      <c r="S106" s="93">
        <v>1</v>
      </c>
      <c r="T106" s="93">
        <v>1</v>
      </c>
      <c r="U106" s="93">
        <v>1</v>
      </c>
      <c r="V106" s="93">
        <v>1</v>
      </c>
      <c r="W106" s="95"/>
      <c r="X106" s="95"/>
      <c r="Y106" s="96">
        <v>3</v>
      </c>
      <c r="Z106" s="96">
        <v>3</v>
      </c>
    </row>
    <row r="107" spans="1:26" ht="15" customHeight="1" x14ac:dyDescent="0.25">
      <c r="A107" s="121"/>
      <c r="B107" s="91" t="s">
        <v>66</v>
      </c>
      <c r="C107" s="91"/>
      <c r="D107" s="91"/>
      <c r="E107" s="92"/>
      <c r="F107" s="92"/>
      <c r="G107" s="92"/>
      <c r="H107" s="92"/>
      <c r="I107" s="92"/>
      <c r="J107" s="92"/>
      <c r="K107" s="92"/>
      <c r="L107" s="92"/>
      <c r="M107" s="92"/>
      <c r="N107" s="92"/>
      <c r="O107" s="96"/>
      <c r="P107" s="96"/>
      <c r="Q107" s="96"/>
      <c r="R107" s="96"/>
      <c r="S107" s="93"/>
      <c r="T107" s="93"/>
      <c r="U107" s="93"/>
      <c r="V107" s="96"/>
      <c r="W107" s="95"/>
      <c r="X107" s="95"/>
      <c r="Y107" s="96"/>
      <c r="Z107" s="96"/>
    </row>
    <row r="108" spans="1:26" ht="15" customHeight="1" x14ac:dyDescent="0.25">
      <c r="A108" s="121"/>
      <c r="B108" s="91"/>
      <c r="C108" s="91" t="s">
        <v>66</v>
      </c>
      <c r="D108" s="91" t="s">
        <v>67</v>
      </c>
      <c r="E108" s="92"/>
      <c r="F108" s="92"/>
      <c r="G108" s="92"/>
      <c r="H108" s="92"/>
      <c r="I108" s="92"/>
      <c r="J108" s="92"/>
      <c r="K108" s="92"/>
      <c r="L108" s="92"/>
      <c r="M108" s="92"/>
      <c r="N108" s="92"/>
      <c r="O108" s="96"/>
      <c r="P108" s="96"/>
      <c r="Q108" s="96"/>
      <c r="R108" s="96"/>
      <c r="S108" s="93">
        <v>1</v>
      </c>
      <c r="T108" s="93">
        <v>1</v>
      </c>
      <c r="U108" s="93">
        <v>1</v>
      </c>
      <c r="V108" s="96">
        <v>1</v>
      </c>
      <c r="W108" s="95">
        <v>1</v>
      </c>
      <c r="X108" s="95">
        <v>1</v>
      </c>
      <c r="Y108" s="96"/>
      <c r="Z108" s="96"/>
    </row>
    <row r="109" spans="1:26" ht="15" customHeight="1" x14ac:dyDescent="0.25">
      <c r="A109" s="121"/>
      <c r="B109" s="91"/>
      <c r="C109" s="91"/>
      <c r="D109" s="91" t="s">
        <v>68</v>
      </c>
      <c r="E109" s="92"/>
      <c r="F109" s="92"/>
      <c r="G109" s="92"/>
      <c r="H109" s="92"/>
      <c r="I109" s="92"/>
      <c r="J109" s="92"/>
      <c r="K109" s="92"/>
      <c r="L109" s="92"/>
      <c r="M109" s="92"/>
      <c r="N109" s="92"/>
      <c r="O109" s="96"/>
      <c r="P109" s="96">
        <v>1</v>
      </c>
      <c r="Q109" s="96">
        <v>2</v>
      </c>
      <c r="R109" s="96">
        <v>3</v>
      </c>
      <c r="S109" s="93"/>
      <c r="T109" s="93"/>
      <c r="U109" s="93"/>
      <c r="V109" s="96"/>
      <c r="W109" s="95"/>
      <c r="X109" s="95"/>
      <c r="Y109" s="96">
        <v>1</v>
      </c>
      <c r="Z109" s="96">
        <v>2</v>
      </c>
    </row>
    <row r="110" spans="1:26" ht="15" customHeight="1" x14ac:dyDescent="0.25">
      <c r="A110" s="121"/>
      <c r="B110" s="91"/>
      <c r="C110" s="91"/>
      <c r="D110" s="91" t="s">
        <v>69</v>
      </c>
      <c r="E110" s="92"/>
      <c r="F110" s="92"/>
      <c r="G110" s="92"/>
      <c r="H110" s="92"/>
      <c r="I110" s="92"/>
      <c r="J110" s="92"/>
      <c r="K110" s="92"/>
      <c r="L110" s="92"/>
      <c r="M110" s="92"/>
      <c r="N110" s="92"/>
      <c r="O110" s="96"/>
      <c r="P110" s="96"/>
      <c r="Q110" s="96"/>
      <c r="R110" s="96"/>
      <c r="S110" s="93">
        <v>1</v>
      </c>
      <c r="T110" s="93">
        <v>1</v>
      </c>
      <c r="U110" s="93">
        <v>2</v>
      </c>
      <c r="V110" s="96">
        <v>3</v>
      </c>
      <c r="W110" s="95">
        <v>1</v>
      </c>
      <c r="X110" s="95">
        <v>2</v>
      </c>
      <c r="Y110" s="96"/>
      <c r="Z110" s="96"/>
    </row>
    <row r="111" spans="1:26" ht="15" customHeight="1" x14ac:dyDescent="0.25">
      <c r="A111" s="121"/>
      <c r="B111" s="91"/>
      <c r="C111" s="91"/>
      <c r="D111" s="91" t="s">
        <v>70</v>
      </c>
      <c r="E111" s="92"/>
      <c r="F111" s="92"/>
      <c r="G111" s="92"/>
      <c r="H111" s="92"/>
      <c r="I111" s="92"/>
      <c r="J111" s="92"/>
      <c r="K111" s="92"/>
      <c r="L111" s="92"/>
      <c r="M111" s="92"/>
      <c r="N111" s="92"/>
      <c r="O111" s="96"/>
      <c r="P111" s="96"/>
      <c r="Q111" s="96"/>
      <c r="R111" s="96"/>
      <c r="S111" s="93">
        <v>1</v>
      </c>
      <c r="T111" s="93">
        <v>1</v>
      </c>
      <c r="U111" s="93">
        <v>2</v>
      </c>
      <c r="V111" s="96">
        <v>3</v>
      </c>
      <c r="W111" s="95">
        <v>1</v>
      </c>
      <c r="X111" s="95">
        <v>2</v>
      </c>
      <c r="Y111" s="96"/>
      <c r="Z111" s="96"/>
    </row>
    <row r="112" spans="1:26" ht="15" customHeight="1" x14ac:dyDescent="0.25">
      <c r="A112" s="121"/>
      <c r="B112" s="91"/>
      <c r="C112" s="91"/>
      <c r="D112" s="91" t="s">
        <v>71</v>
      </c>
      <c r="E112" s="92"/>
      <c r="F112" s="92"/>
      <c r="G112" s="92"/>
      <c r="H112" s="92"/>
      <c r="I112" s="92"/>
      <c r="J112" s="92"/>
      <c r="K112" s="92"/>
      <c r="L112" s="92"/>
      <c r="M112" s="92"/>
      <c r="N112" s="92"/>
      <c r="O112" s="96"/>
      <c r="P112" s="96"/>
      <c r="Q112" s="96"/>
      <c r="R112" s="96"/>
      <c r="S112" s="93">
        <v>1</v>
      </c>
      <c r="T112" s="93">
        <v>1</v>
      </c>
      <c r="U112" s="93">
        <v>2</v>
      </c>
      <c r="V112" s="96">
        <v>3</v>
      </c>
      <c r="W112" s="95">
        <v>1</v>
      </c>
      <c r="X112" s="95">
        <v>2</v>
      </c>
      <c r="Y112" s="96"/>
      <c r="Z112" s="96"/>
    </row>
    <row r="113" spans="1:26" ht="15" customHeight="1" x14ac:dyDescent="0.25">
      <c r="A113" s="121"/>
      <c r="B113" s="91"/>
      <c r="C113" s="91"/>
      <c r="D113" s="91" t="s">
        <v>72</v>
      </c>
      <c r="E113" s="92"/>
      <c r="F113" s="92"/>
      <c r="G113" s="92"/>
      <c r="H113" s="92"/>
      <c r="I113" s="92"/>
      <c r="J113" s="92"/>
      <c r="K113" s="92"/>
      <c r="L113" s="92"/>
      <c r="M113" s="92"/>
      <c r="N113" s="92"/>
      <c r="O113" s="96"/>
      <c r="P113" s="96">
        <v>1</v>
      </c>
      <c r="Q113" s="96">
        <v>2</v>
      </c>
      <c r="R113" s="96">
        <v>3</v>
      </c>
      <c r="S113" s="93"/>
      <c r="T113" s="93"/>
      <c r="U113" s="93"/>
      <c r="V113" s="96"/>
      <c r="W113" s="95"/>
      <c r="X113" s="95"/>
      <c r="Y113" s="96">
        <v>1</v>
      </c>
      <c r="Z113" s="96">
        <v>2</v>
      </c>
    </row>
    <row r="114" spans="1:26" ht="15" customHeight="1" x14ac:dyDescent="0.25">
      <c r="A114" s="121"/>
      <c r="B114" s="91"/>
      <c r="C114" s="91"/>
      <c r="D114" s="91" t="s">
        <v>73</v>
      </c>
      <c r="E114" s="92"/>
      <c r="F114" s="92"/>
      <c r="G114" s="92"/>
      <c r="H114" s="92"/>
      <c r="I114" s="92"/>
      <c r="J114" s="92"/>
      <c r="K114" s="92"/>
      <c r="L114" s="92"/>
      <c r="M114" s="92"/>
      <c r="N114" s="92"/>
      <c r="O114" s="93"/>
      <c r="P114" s="93"/>
      <c r="Q114" s="93"/>
      <c r="R114" s="93"/>
      <c r="S114" s="93"/>
      <c r="T114" s="93"/>
      <c r="U114" s="93"/>
      <c r="V114" s="93"/>
      <c r="W114" s="95"/>
      <c r="X114" s="95"/>
      <c r="Y114" s="93"/>
      <c r="Z114" s="93"/>
    </row>
    <row r="115" spans="1:26" ht="15" customHeight="1" x14ac:dyDescent="0.25">
      <c r="A115" s="121"/>
      <c r="B115" s="91"/>
      <c r="C115" s="91"/>
      <c r="D115" s="91" t="s">
        <v>74</v>
      </c>
      <c r="E115" s="92"/>
      <c r="F115" s="92"/>
      <c r="G115" s="92"/>
      <c r="H115" s="92"/>
      <c r="I115" s="92"/>
      <c r="J115" s="92"/>
      <c r="K115" s="92"/>
      <c r="L115" s="92"/>
      <c r="M115" s="92"/>
      <c r="N115" s="92"/>
      <c r="O115" s="93">
        <v>1</v>
      </c>
      <c r="P115" s="93">
        <v>1</v>
      </c>
      <c r="Q115" s="93">
        <v>2</v>
      </c>
      <c r="R115" s="93">
        <v>3</v>
      </c>
      <c r="S115" s="93">
        <v>1</v>
      </c>
      <c r="T115" s="93">
        <v>1</v>
      </c>
      <c r="U115" s="93">
        <v>2</v>
      </c>
      <c r="V115" s="93">
        <v>3</v>
      </c>
      <c r="W115" s="95">
        <v>1</v>
      </c>
      <c r="X115" s="95">
        <v>2</v>
      </c>
      <c r="Y115" s="93"/>
      <c r="Z115" s="93"/>
    </row>
    <row r="116" spans="1:26" ht="15" customHeight="1" x14ac:dyDescent="0.25">
      <c r="A116" s="121"/>
      <c r="B116" s="91" t="s">
        <v>673</v>
      </c>
      <c r="C116" s="91"/>
      <c r="D116" s="91"/>
      <c r="E116" s="92"/>
      <c r="F116" s="92"/>
      <c r="G116" s="92"/>
      <c r="H116" s="92"/>
      <c r="I116" s="92"/>
      <c r="J116" s="92"/>
      <c r="K116" s="92"/>
      <c r="L116" s="92"/>
      <c r="M116" s="92"/>
      <c r="N116" s="92"/>
      <c r="O116" s="93"/>
      <c r="P116" s="93"/>
      <c r="Q116" s="93"/>
      <c r="R116" s="93"/>
      <c r="S116" s="93"/>
      <c r="T116" s="93"/>
      <c r="U116" s="93"/>
      <c r="V116" s="93"/>
      <c r="W116" s="95"/>
      <c r="X116" s="95"/>
      <c r="Y116" s="93"/>
      <c r="Z116" s="93"/>
    </row>
    <row r="117" spans="1:26" ht="15" customHeight="1" x14ac:dyDescent="0.25">
      <c r="A117" s="121"/>
      <c r="B117" s="91"/>
      <c r="C117" s="91" t="s">
        <v>673</v>
      </c>
      <c r="D117" s="94" t="s">
        <v>77</v>
      </c>
      <c r="E117" s="92">
        <v>2</v>
      </c>
      <c r="F117" s="92">
        <v>2</v>
      </c>
      <c r="G117" s="92">
        <v>2</v>
      </c>
      <c r="H117" s="92">
        <v>3</v>
      </c>
      <c r="I117" s="92">
        <v>3</v>
      </c>
      <c r="J117" s="92">
        <v>2</v>
      </c>
      <c r="K117" s="92">
        <v>2</v>
      </c>
      <c r="L117" s="92">
        <v>2</v>
      </c>
      <c r="M117" s="92">
        <v>3</v>
      </c>
      <c r="N117" s="92">
        <v>3</v>
      </c>
      <c r="O117" s="93">
        <v>3</v>
      </c>
      <c r="P117" s="93">
        <v>3</v>
      </c>
      <c r="Q117" s="93">
        <v>3</v>
      </c>
      <c r="R117" s="93">
        <v>3</v>
      </c>
      <c r="S117" s="93">
        <v>2</v>
      </c>
      <c r="T117" s="93">
        <v>2</v>
      </c>
      <c r="U117" s="93">
        <v>2</v>
      </c>
      <c r="V117" s="93">
        <v>2</v>
      </c>
      <c r="W117" s="95">
        <v>2</v>
      </c>
      <c r="X117" s="95">
        <v>2</v>
      </c>
      <c r="Y117" s="93">
        <v>3</v>
      </c>
      <c r="Z117" s="93">
        <v>3</v>
      </c>
    </row>
    <row r="118" spans="1:26" ht="15" customHeight="1" x14ac:dyDescent="0.25">
      <c r="A118" s="121"/>
      <c r="B118" s="91"/>
      <c r="C118" s="91"/>
      <c r="D118" s="91" t="s">
        <v>78</v>
      </c>
      <c r="E118" s="92">
        <v>1</v>
      </c>
      <c r="F118" s="92">
        <v>1</v>
      </c>
      <c r="G118" s="92">
        <v>2</v>
      </c>
      <c r="H118" s="92">
        <v>3</v>
      </c>
      <c r="I118" s="92">
        <v>3</v>
      </c>
      <c r="J118" s="92"/>
      <c r="K118" s="92"/>
      <c r="L118" s="92"/>
      <c r="M118" s="92">
        <v>1</v>
      </c>
      <c r="N118" s="92">
        <v>1</v>
      </c>
      <c r="O118" s="93">
        <v>3</v>
      </c>
      <c r="P118" s="93">
        <v>3</v>
      </c>
      <c r="Q118" s="93">
        <v>3</v>
      </c>
      <c r="R118" s="93">
        <v>3</v>
      </c>
      <c r="S118" s="93">
        <v>1</v>
      </c>
      <c r="T118" s="93">
        <v>1</v>
      </c>
      <c r="U118" s="93">
        <v>1</v>
      </c>
      <c r="V118" s="93">
        <v>1</v>
      </c>
      <c r="W118" s="95">
        <v>1</v>
      </c>
      <c r="X118" s="95">
        <v>1</v>
      </c>
      <c r="Y118" s="93">
        <v>3</v>
      </c>
      <c r="Z118" s="93">
        <v>3</v>
      </c>
    </row>
    <row r="119" spans="1:26" ht="15" customHeight="1" x14ac:dyDescent="0.25">
      <c r="A119" s="121"/>
      <c r="B119" s="91"/>
      <c r="C119" s="91"/>
      <c r="D119" s="91" t="s">
        <v>510</v>
      </c>
      <c r="E119" s="92">
        <v>1</v>
      </c>
      <c r="F119" s="92">
        <v>1</v>
      </c>
      <c r="G119" s="92">
        <v>2</v>
      </c>
      <c r="H119" s="92">
        <v>3</v>
      </c>
      <c r="I119" s="92">
        <v>3</v>
      </c>
      <c r="J119" s="92"/>
      <c r="K119" s="92"/>
      <c r="L119" s="92"/>
      <c r="M119" s="92">
        <v>1</v>
      </c>
      <c r="N119" s="92">
        <v>1</v>
      </c>
      <c r="O119" s="93">
        <v>3</v>
      </c>
      <c r="P119" s="93">
        <v>3</v>
      </c>
      <c r="Q119" s="93">
        <v>3</v>
      </c>
      <c r="R119" s="93">
        <v>3</v>
      </c>
      <c r="S119" s="93">
        <v>1</v>
      </c>
      <c r="T119" s="93">
        <v>1</v>
      </c>
      <c r="U119" s="93">
        <v>1</v>
      </c>
      <c r="V119" s="93">
        <v>1</v>
      </c>
      <c r="W119" s="95">
        <v>1</v>
      </c>
      <c r="X119" s="95">
        <v>1</v>
      </c>
      <c r="Y119" s="93">
        <v>3</v>
      </c>
      <c r="Z119" s="93">
        <v>3</v>
      </c>
    </row>
    <row r="120" spans="1:26" ht="15" customHeight="1" x14ac:dyDescent="0.25">
      <c r="A120" s="121"/>
      <c r="B120" s="91"/>
      <c r="C120" s="91"/>
      <c r="D120" s="91" t="s">
        <v>79</v>
      </c>
      <c r="E120" s="92"/>
      <c r="F120" s="92">
        <v>1</v>
      </c>
      <c r="G120" s="92">
        <v>2</v>
      </c>
      <c r="H120" s="92">
        <v>3</v>
      </c>
      <c r="I120" s="92">
        <v>3</v>
      </c>
      <c r="J120" s="92"/>
      <c r="K120" s="92"/>
      <c r="L120" s="92"/>
      <c r="M120" s="92">
        <v>1</v>
      </c>
      <c r="N120" s="92">
        <v>1</v>
      </c>
      <c r="O120" s="93">
        <v>3</v>
      </c>
      <c r="P120" s="93">
        <v>3</v>
      </c>
      <c r="Q120" s="93">
        <v>3</v>
      </c>
      <c r="R120" s="93">
        <v>3</v>
      </c>
      <c r="S120" s="93">
        <v>1</v>
      </c>
      <c r="T120" s="93">
        <v>1</v>
      </c>
      <c r="U120" s="93">
        <v>1</v>
      </c>
      <c r="V120" s="93">
        <v>1</v>
      </c>
      <c r="W120" s="95">
        <v>1</v>
      </c>
      <c r="X120" s="95">
        <v>1</v>
      </c>
      <c r="Y120" s="93">
        <v>3</v>
      </c>
      <c r="Z120" s="93">
        <v>3</v>
      </c>
    </row>
    <row r="121" spans="1:26" ht="15" customHeight="1" x14ac:dyDescent="0.25">
      <c r="A121" s="121"/>
      <c r="B121" s="91"/>
      <c r="C121" s="91"/>
      <c r="D121" s="91" t="s">
        <v>735</v>
      </c>
      <c r="E121" s="92"/>
      <c r="F121" s="92">
        <v>1</v>
      </c>
      <c r="G121" s="92">
        <v>2</v>
      </c>
      <c r="H121" s="92">
        <v>3</v>
      </c>
      <c r="I121" s="92">
        <v>3</v>
      </c>
      <c r="J121" s="92"/>
      <c r="K121" s="92"/>
      <c r="L121" s="92"/>
      <c r="M121" s="92">
        <v>1</v>
      </c>
      <c r="N121" s="92">
        <v>1</v>
      </c>
      <c r="O121" s="93">
        <v>3</v>
      </c>
      <c r="P121" s="93">
        <v>3</v>
      </c>
      <c r="Q121" s="93">
        <v>3</v>
      </c>
      <c r="R121" s="93">
        <v>3</v>
      </c>
      <c r="S121" s="93">
        <v>1</v>
      </c>
      <c r="T121" s="93">
        <v>1</v>
      </c>
      <c r="U121" s="93">
        <v>1</v>
      </c>
      <c r="V121" s="93">
        <v>1</v>
      </c>
      <c r="W121" s="95">
        <v>1</v>
      </c>
      <c r="X121" s="95">
        <v>1</v>
      </c>
      <c r="Y121" s="93">
        <v>3</v>
      </c>
      <c r="Z121" s="93">
        <v>3</v>
      </c>
    </row>
    <row r="122" spans="1:26" ht="15" customHeight="1" x14ac:dyDescent="0.25">
      <c r="A122" s="121"/>
      <c r="B122" s="91"/>
      <c r="C122" s="91"/>
      <c r="D122" s="91" t="s">
        <v>80</v>
      </c>
      <c r="E122" s="92"/>
      <c r="F122" s="92">
        <v>1</v>
      </c>
      <c r="G122" s="92">
        <v>2</v>
      </c>
      <c r="H122" s="92">
        <v>3</v>
      </c>
      <c r="I122" s="92">
        <v>3</v>
      </c>
      <c r="J122" s="92"/>
      <c r="K122" s="92"/>
      <c r="L122" s="92"/>
      <c r="M122" s="92">
        <v>1</v>
      </c>
      <c r="N122" s="92">
        <v>1</v>
      </c>
      <c r="O122" s="93">
        <v>3</v>
      </c>
      <c r="P122" s="93">
        <v>3</v>
      </c>
      <c r="Q122" s="93">
        <v>3</v>
      </c>
      <c r="R122" s="93">
        <v>3</v>
      </c>
      <c r="S122" s="93">
        <v>1</v>
      </c>
      <c r="T122" s="93">
        <v>1</v>
      </c>
      <c r="U122" s="93">
        <v>1</v>
      </c>
      <c r="V122" s="93">
        <v>1</v>
      </c>
      <c r="W122" s="95">
        <v>1</v>
      </c>
      <c r="X122" s="95">
        <v>1</v>
      </c>
      <c r="Y122" s="93">
        <v>3</v>
      </c>
      <c r="Z122" s="93">
        <v>3</v>
      </c>
    </row>
    <row r="123" spans="1:26" ht="15" customHeight="1" x14ac:dyDescent="0.25">
      <c r="A123" s="121"/>
      <c r="B123" s="91"/>
      <c r="C123" s="91"/>
      <c r="D123" s="91" t="s">
        <v>81</v>
      </c>
      <c r="E123" s="92"/>
      <c r="F123" s="92">
        <v>1</v>
      </c>
      <c r="G123" s="92">
        <v>2</v>
      </c>
      <c r="H123" s="92">
        <v>3</v>
      </c>
      <c r="I123" s="92">
        <v>3</v>
      </c>
      <c r="J123" s="92"/>
      <c r="K123" s="92"/>
      <c r="L123" s="92"/>
      <c r="M123" s="92">
        <v>1</v>
      </c>
      <c r="N123" s="92">
        <v>1</v>
      </c>
      <c r="O123" s="93">
        <v>3</v>
      </c>
      <c r="P123" s="93">
        <v>3</v>
      </c>
      <c r="Q123" s="93">
        <v>3</v>
      </c>
      <c r="R123" s="93">
        <v>3</v>
      </c>
      <c r="S123" s="93">
        <v>1</v>
      </c>
      <c r="T123" s="93">
        <v>1</v>
      </c>
      <c r="U123" s="93">
        <v>1</v>
      </c>
      <c r="V123" s="93">
        <v>1</v>
      </c>
      <c r="W123" s="95">
        <v>1</v>
      </c>
      <c r="X123" s="95">
        <v>1</v>
      </c>
      <c r="Y123" s="93">
        <v>3</v>
      </c>
      <c r="Z123" s="93">
        <v>3</v>
      </c>
    </row>
    <row r="124" spans="1:26" x14ac:dyDescent="0.25">
      <c r="A124" s="121"/>
      <c r="B124" s="91"/>
      <c r="C124" s="91"/>
      <c r="D124" s="91" t="s">
        <v>82</v>
      </c>
      <c r="E124" s="92"/>
      <c r="F124" s="92">
        <v>1</v>
      </c>
      <c r="G124" s="92">
        <v>2</v>
      </c>
      <c r="H124" s="92">
        <v>3</v>
      </c>
      <c r="I124" s="92">
        <v>3</v>
      </c>
      <c r="J124" s="92"/>
      <c r="K124" s="92"/>
      <c r="L124" s="92"/>
      <c r="M124" s="92">
        <v>1</v>
      </c>
      <c r="N124" s="92">
        <v>1</v>
      </c>
      <c r="O124" s="93">
        <v>3</v>
      </c>
      <c r="P124" s="93">
        <v>3</v>
      </c>
      <c r="Q124" s="93">
        <v>3</v>
      </c>
      <c r="R124" s="93">
        <v>3</v>
      </c>
      <c r="S124" s="93">
        <v>1</v>
      </c>
      <c r="T124" s="93">
        <v>1</v>
      </c>
      <c r="U124" s="93">
        <v>1</v>
      </c>
      <c r="V124" s="93">
        <v>1</v>
      </c>
      <c r="W124" s="93">
        <v>1</v>
      </c>
      <c r="X124" s="93">
        <v>1</v>
      </c>
      <c r="Y124" s="93">
        <v>3</v>
      </c>
      <c r="Z124" s="93">
        <v>3</v>
      </c>
    </row>
    <row r="125" spans="1:26" ht="15" customHeight="1" x14ac:dyDescent="0.25">
      <c r="A125" s="121"/>
      <c r="B125" s="91"/>
      <c r="C125" s="91"/>
      <c r="D125" s="94" t="s">
        <v>83</v>
      </c>
      <c r="E125" s="92">
        <v>1</v>
      </c>
      <c r="F125" s="92">
        <v>1</v>
      </c>
      <c r="G125" s="92">
        <v>2</v>
      </c>
      <c r="H125" s="92">
        <v>3</v>
      </c>
      <c r="I125" s="92">
        <v>3</v>
      </c>
      <c r="J125" s="92">
        <v>1</v>
      </c>
      <c r="K125" s="92">
        <v>1</v>
      </c>
      <c r="L125" s="92">
        <v>2</v>
      </c>
      <c r="M125" s="92">
        <v>3</v>
      </c>
      <c r="N125" s="92">
        <v>3</v>
      </c>
      <c r="O125" s="93">
        <v>3</v>
      </c>
      <c r="P125" s="93">
        <v>3</v>
      </c>
      <c r="Q125" s="93">
        <v>3</v>
      </c>
      <c r="R125" s="93">
        <v>3</v>
      </c>
      <c r="S125" s="93">
        <v>1</v>
      </c>
      <c r="T125" s="93">
        <v>1</v>
      </c>
      <c r="U125" s="93">
        <v>1</v>
      </c>
      <c r="V125" s="93">
        <v>1</v>
      </c>
      <c r="W125" s="95">
        <v>1</v>
      </c>
      <c r="X125" s="95">
        <v>1</v>
      </c>
      <c r="Y125" s="93">
        <v>3</v>
      </c>
      <c r="Z125" s="93">
        <v>3</v>
      </c>
    </row>
    <row r="126" spans="1:26" ht="15" customHeight="1" x14ac:dyDescent="0.25">
      <c r="A126" s="121"/>
      <c r="B126" s="91" t="s">
        <v>84</v>
      </c>
      <c r="C126" s="91"/>
      <c r="D126" s="94"/>
      <c r="E126" s="92"/>
      <c r="F126" s="92"/>
      <c r="G126" s="92"/>
      <c r="H126" s="92"/>
      <c r="I126" s="92"/>
      <c r="J126" s="92"/>
      <c r="K126" s="92"/>
      <c r="L126" s="92"/>
      <c r="M126" s="92"/>
      <c r="N126" s="92"/>
      <c r="O126" s="93"/>
      <c r="P126" s="93"/>
      <c r="Q126" s="93"/>
      <c r="R126" s="93"/>
      <c r="S126" s="93"/>
      <c r="T126" s="93"/>
      <c r="U126" s="93"/>
      <c r="V126" s="93"/>
      <c r="W126" s="95"/>
      <c r="X126" s="95"/>
      <c r="Y126" s="93"/>
      <c r="Z126" s="93"/>
    </row>
    <row r="127" spans="1:26" ht="15" customHeight="1" x14ac:dyDescent="0.25">
      <c r="A127" s="121"/>
      <c r="B127" s="91"/>
      <c r="C127" s="91" t="s">
        <v>84</v>
      </c>
      <c r="D127" s="94" t="s">
        <v>314</v>
      </c>
      <c r="E127" s="92">
        <v>1</v>
      </c>
      <c r="F127" s="92">
        <v>2</v>
      </c>
      <c r="G127" s="92">
        <v>2</v>
      </c>
      <c r="H127" s="92">
        <v>3</v>
      </c>
      <c r="I127" s="92">
        <v>3</v>
      </c>
      <c r="J127" s="92">
        <v>1</v>
      </c>
      <c r="K127" s="92">
        <v>2</v>
      </c>
      <c r="L127" s="92">
        <v>2</v>
      </c>
      <c r="M127" s="92">
        <v>3</v>
      </c>
      <c r="N127" s="92">
        <v>3</v>
      </c>
      <c r="O127" s="93">
        <v>3</v>
      </c>
      <c r="P127" s="93">
        <v>3</v>
      </c>
      <c r="Q127" s="93">
        <v>3</v>
      </c>
      <c r="R127" s="93">
        <v>3</v>
      </c>
      <c r="S127" s="93">
        <v>2</v>
      </c>
      <c r="T127" s="93">
        <v>2</v>
      </c>
      <c r="U127" s="93">
        <v>2</v>
      </c>
      <c r="V127" s="93">
        <v>2</v>
      </c>
      <c r="W127" s="95">
        <v>2</v>
      </c>
      <c r="X127" s="95">
        <v>2</v>
      </c>
      <c r="Y127" s="93">
        <v>3</v>
      </c>
      <c r="Z127" s="93">
        <v>3</v>
      </c>
    </row>
    <row r="128" spans="1:26" ht="15" customHeight="1" x14ac:dyDescent="0.25">
      <c r="A128" s="121"/>
      <c r="B128" s="91"/>
      <c r="C128" s="91"/>
      <c r="D128" s="94" t="s">
        <v>315</v>
      </c>
      <c r="E128" s="92">
        <v>1</v>
      </c>
      <c r="F128" s="92">
        <v>2</v>
      </c>
      <c r="G128" s="92">
        <v>2</v>
      </c>
      <c r="H128" s="92">
        <v>3</v>
      </c>
      <c r="I128" s="92">
        <v>3</v>
      </c>
      <c r="J128" s="92">
        <v>1</v>
      </c>
      <c r="K128" s="92">
        <v>2</v>
      </c>
      <c r="L128" s="92">
        <v>2</v>
      </c>
      <c r="M128" s="92">
        <v>3</v>
      </c>
      <c r="N128" s="92">
        <v>3</v>
      </c>
      <c r="O128" s="93">
        <v>3</v>
      </c>
      <c r="P128" s="93">
        <v>3</v>
      </c>
      <c r="Q128" s="93">
        <v>3</v>
      </c>
      <c r="R128" s="93">
        <v>3</v>
      </c>
      <c r="S128" s="93">
        <v>1</v>
      </c>
      <c r="T128" s="93">
        <v>1</v>
      </c>
      <c r="U128" s="93">
        <v>1</v>
      </c>
      <c r="V128" s="93">
        <v>1</v>
      </c>
      <c r="W128" s="95">
        <v>2</v>
      </c>
      <c r="X128" s="95">
        <v>2</v>
      </c>
      <c r="Y128" s="93">
        <v>3</v>
      </c>
      <c r="Z128" s="93">
        <v>3</v>
      </c>
    </row>
    <row r="129" spans="1:26" ht="15" customHeight="1" x14ac:dyDescent="0.25">
      <c r="A129" s="121"/>
      <c r="B129" s="91"/>
      <c r="C129" s="91"/>
      <c r="D129" s="94" t="s">
        <v>316</v>
      </c>
      <c r="E129" s="92">
        <v>1</v>
      </c>
      <c r="F129" s="92">
        <v>2</v>
      </c>
      <c r="G129" s="92">
        <v>2</v>
      </c>
      <c r="H129" s="92">
        <v>3</v>
      </c>
      <c r="I129" s="92">
        <v>3</v>
      </c>
      <c r="J129" s="92"/>
      <c r="K129" s="92"/>
      <c r="L129" s="92"/>
      <c r="M129" s="92">
        <v>1</v>
      </c>
      <c r="N129" s="92">
        <v>1</v>
      </c>
      <c r="O129" s="93">
        <v>3</v>
      </c>
      <c r="P129" s="93">
        <v>3</v>
      </c>
      <c r="Q129" s="93">
        <v>3</v>
      </c>
      <c r="R129" s="93">
        <v>3</v>
      </c>
      <c r="S129" s="93">
        <v>1</v>
      </c>
      <c r="T129" s="93">
        <v>1</v>
      </c>
      <c r="U129" s="93">
        <v>1</v>
      </c>
      <c r="V129" s="93">
        <v>1</v>
      </c>
      <c r="W129" s="95">
        <v>2</v>
      </c>
      <c r="X129" s="95">
        <v>2</v>
      </c>
      <c r="Y129" s="93">
        <v>3</v>
      </c>
      <c r="Z129" s="93">
        <v>3</v>
      </c>
    </row>
    <row r="130" spans="1:26" ht="15" customHeight="1" x14ac:dyDescent="0.25">
      <c r="A130" s="121"/>
      <c r="B130" s="91"/>
      <c r="C130" s="91"/>
      <c r="D130" s="94" t="s">
        <v>317</v>
      </c>
      <c r="E130" s="92">
        <v>1</v>
      </c>
      <c r="F130" s="92">
        <v>2</v>
      </c>
      <c r="G130" s="92">
        <v>2</v>
      </c>
      <c r="H130" s="92">
        <v>3</v>
      </c>
      <c r="I130" s="92">
        <v>3</v>
      </c>
      <c r="J130" s="92"/>
      <c r="K130" s="92"/>
      <c r="L130" s="92"/>
      <c r="M130" s="92">
        <v>1</v>
      </c>
      <c r="N130" s="92">
        <v>1</v>
      </c>
      <c r="O130" s="93">
        <v>3</v>
      </c>
      <c r="P130" s="93">
        <v>3</v>
      </c>
      <c r="Q130" s="93">
        <v>3</v>
      </c>
      <c r="R130" s="93">
        <v>3</v>
      </c>
      <c r="S130" s="93">
        <v>1</v>
      </c>
      <c r="T130" s="93">
        <v>1</v>
      </c>
      <c r="U130" s="93">
        <v>1</v>
      </c>
      <c r="V130" s="93">
        <v>1</v>
      </c>
      <c r="W130" s="95">
        <v>2</v>
      </c>
      <c r="X130" s="95">
        <v>2</v>
      </c>
      <c r="Y130" s="93">
        <v>3</v>
      </c>
      <c r="Z130" s="93">
        <v>3</v>
      </c>
    </row>
    <row r="131" spans="1:26" ht="15" customHeight="1" x14ac:dyDescent="0.25">
      <c r="A131" s="121"/>
      <c r="B131" s="91"/>
      <c r="C131" s="91"/>
      <c r="D131" s="94" t="s">
        <v>318</v>
      </c>
      <c r="E131" s="92">
        <v>1</v>
      </c>
      <c r="F131" s="92">
        <v>2</v>
      </c>
      <c r="G131" s="92">
        <v>2</v>
      </c>
      <c r="H131" s="92">
        <v>3</v>
      </c>
      <c r="I131" s="92">
        <v>3</v>
      </c>
      <c r="J131" s="92"/>
      <c r="K131" s="92"/>
      <c r="L131" s="92"/>
      <c r="M131" s="92">
        <v>1</v>
      </c>
      <c r="N131" s="92">
        <v>1</v>
      </c>
      <c r="O131" s="93">
        <v>3</v>
      </c>
      <c r="P131" s="93">
        <v>3</v>
      </c>
      <c r="Q131" s="93">
        <v>3</v>
      </c>
      <c r="R131" s="93">
        <v>3</v>
      </c>
      <c r="S131" s="93">
        <v>1</v>
      </c>
      <c r="T131" s="93">
        <v>1</v>
      </c>
      <c r="U131" s="93">
        <v>1</v>
      </c>
      <c r="V131" s="93">
        <v>1</v>
      </c>
      <c r="W131" s="95">
        <v>2</v>
      </c>
      <c r="X131" s="95">
        <v>2</v>
      </c>
      <c r="Y131" s="93">
        <v>3</v>
      </c>
      <c r="Z131" s="93">
        <v>3</v>
      </c>
    </row>
    <row r="132" spans="1:26" ht="15" customHeight="1" x14ac:dyDescent="0.25">
      <c r="A132" s="121"/>
      <c r="B132" s="91"/>
      <c r="C132" s="91"/>
      <c r="D132" s="94" t="s">
        <v>319</v>
      </c>
      <c r="E132" s="92">
        <v>1</v>
      </c>
      <c r="F132" s="92">
        <v>2</v>
      </c>
      <c r="G132" s="92">
        <v>2</v>
      </c>
      <c r="H132" s="92">
        <v>3</v>
      </c>
      <c r="I132" s="92">
        <v>3</v>
      </c>
      <c r="J132" s="92"/>
      <c r="K132" s="92"/>
      <c r="L132" s="92"/>
      <c r="M132" s="92">
        <v>1</v>
      </c>
      <c r="N132" s="92">
        <v>1</v>
      </c>
      <c r="O132" s="93">
        <v>3</v>
      </c>
      <c r="P132" s="93">
        <v>3</v>
      </c>
      <c r="Q132" s="93">
        <v>3</v>
      </c>
      <c r="R132" s="93">
        <v>3</v>
      </c>
      <c r="S132" s="93">
        <v>1</v>
      </c>
      <c r="T132" s="93">
        <v>1</v>
      </c>
      <c r="U132" s="93">
        <v>1</v>
      </c>
      <c r="V132" s="93">
        <v>1</v>
      </c>
      <c r="W132" s="95">
        <v>2</v>
      </c>
      <c r="X132" s="95">
        <v>2</v>
      </c>
      <c r="Y132" s="93">
        <v>3</v>
      </c>
      <c r="Z132" s="93">
        <v>3</v>
      </c>
    </row>
    <row r="133" spans="1:26" ht="15" customHeight="1" x14ac:dyDescent="0.25">
      <c r="A133" s="121"/>
      <c r="B133" s="91"/>
      <c r="C133" s="91"/>
      <c r="D133" s="94" t="s">
        <v>320</v>
      </c>
      <c r="E133" s="92">
        <v>1</v>
      </c>
      <c r="F133" s="92">
        <v>2</v>
      </c>
      <c r="G133" s="92">
        <v>2</v>
      </c>
      <c r="H133" s="92">
        <v>3</v>
      </c>
      <c r="I133" s="92">
        <v>3</v>
      </c>
      <c r="J133" s="92"/>
      <c r="K133" s="92"/>
      <c r="L133" s="92"/>
      <c r="M133" s="92">
        <v>1</v>
      </c>
      <c r="N133" s="92">
        <v>1</v>
      </c>
      <c r="O133" s="93">
        <v>3</v>
      </c>
      <c r="P133" s="93">
        <v>3</v>
      </c>
      <c r="Q133" s="93">
        <v>3</v>
      </c>
      <c r="R133" s="93">
        <v>3</v>
      </c>
      <c r="S133" s="93">
        <v>1</v>
      </c>
      <c r="T133" s="93">
        <v>1</v>
      </c>
      <c r="U133" s="93">
        <v>1</v>
      </c>
      <c r="V133" s="93">
        <v>1</v>
      </c>
      <c r="W133" s="95">
        <v>2</v>
      </c>
      <c r="X133" s="95">
        <v>2</v>
      </c>
      <c r="Y133" s="93">
        <v>3</v>
      </c>
      <c r="Z133" s="93">
        <v>3</v>
      </c>
    </row>
    <row r="134" spans="1:26" x14ac:dyDescent="0.25">
      <c r="A134" s="121"/>
      <c r="B134" s="91"/>
      <c r="C134" s="91"/>
      <c r="D134" s="91" t="s">
        <v>321</v>
      </c>
      <c r="E134" s="92">
        <v>1</v>
      </c>
      <c r="F134" s="92">
        <v>2</v>
      </c>
      <c r="G134" s="92">
        <v>2</v>
      </c>
      <c r="H134" s="92">
        <v>3</v>
      </c>
      <c r="I134" s="92">
        <v>3</v>
      </c>
      <c r="J134" s="92"/>
      <c r="K134" s="92"/>
      <c r="L134" s="92"/>
      <c r="M134" s="92">
        <v>1</v>
      </c>
      <c r="N134" s="92">
        <v>1</v>
      </c>
      <c r="O134" s="93">
        <v>3</v>
      </c>
      <c r="P134" s="93">
        <v>3</v>
      </c>
      <c r="Q134" s="93">
        <v>3</v>
      </c>
      <c r="R134" s="93">
        <v>3</v>
      </c>
      <c r="S134" s="93">
        <v>1</v>
      </c>
      <c r="T134" s="93">
        <v>1</v>
      </c>
      <c r="U134" s="93">
        <v>1</v>
      </c>
      <c r="V134" s="93">
        <v>1</v>
      </c>
      <c r="W134" s="95">
        <v>2</v>
      </c>
      <c r="X134" s="95">
        <v>2</v>
      </c>
      <c r="Y134" s="93">
        <v>3</v>
      </c>
      <c r="Z134" s="93">
        <v>3</v>
      </c>
    </row>
    <row r="135" spans="1:26" ht="15" customHeight="1" x14ac:dyDescent="0.25">
      <c r="A135" s="121"/>
      <c r="B135" s="91"/>
      <c r="C135" s="91"/>
      <c r="D135" s="91" t="s">
        <v>322</v>
      </c>
      <c r="E135" s="92">
        <v>1</v>
      </c>
      <c r="F135" s="92">
        <v>2</v>
      </c>
      <c r="G135" s="92">
        <v>2</v>
      </c>
      <c r="H135" s="92">
        <v>3</v>
      </c>
      <c r="I135" s="92">
        <v>3</v>
      </c>
      <c r="J135" s="92">
        <v>1</v>
      </c>
      <c r="K135" s="92">
        <v>2</v>
      </c>
      <c r="L135" s="92">
        <v>2</v>
      </c>
      <c r="M135" s="92">
        <v>3</v>
      </c>
      <c r="N135" s="92">
        <v>3</v>
      </c>
      <c r="O135" s="93">
        <v>3</v>
      </c>
      <c r="P135" s="93">
        <v>3</v>
      </c>
      <c r="Q135" s="93">
        <v>3</v>
      </c>
      <c r="R135" s="93">
        <v>3</v>
      </c>
      <c r="S135" s="93">
        <v>1</v>
      </c>
      <c r="T135" s="93">
        <v>1</v>
      </c>
      <c r="U135" s="93">
        <v>1</v>
      </c>
      <c r="V135" s="93">
        <v>1</v>
      </c>
      <c r="W135" s="95">
        <v>2</v>
      </c>
      <c r="X135" s="95">
        <v>2</v>
      </c>
      <c r="Y135" s="93">
        <v>3</v>
      </c>
      <c r="Z135" s="93">
        <v>3</v>
      </c>
    </row>
    <row r="136" spans="1:26" ht="15" customHeight="1" x14ac:dyDescent="0.25">
      <c r="A136" s="121"/>
      <c r="B136" s="91" t="s">
        <v>85</v>
      </c>
      <c r="C136" s="91"/>
      <c r="D136" s="91"/>
      <c r="E136" s="92"/>
      <c r="F136" s="92"/>
      <c r="G136" s="92"/>
      <c r="H136" s="92"/>
      <c r="I136" s="92"/>
      <c r="J136" s="92"/>
      <c r="K136" s="92"/>
      <c r="L136" s="92"/>
      <c r="M136" s="92"/>
      <c r="N136" s="92"/>
      <c r="O136" s="93"/>
      <c r="P136" s="93"/>
      <c r="Q136" s="93"/>
      <c r="R136" s="93"/>
      <c r="S136" s="93"/>
      <c r="T136" s="93"/>
      <c r="U136" s="93"/>
      <c r="V136" s="93"/>
      <c r="W136" s="95"/>
      <c r="X136" s="95"/>
      <c r="Y136" s="93"/>
      <c r="Z136" s="93"/>
    </row>
    <row r="137" spans="1:26" ht="15" customHeight="1" x14ac:dyDescent="0.25">
      <c r="A137" s="121"/>
      <c r="B137" s="91"/>
      <c r="C137" s="91" t="s">
        <v>85</v>
      </c>
      <c r="D137" s="91" t="s">
        <v>86</v>
      </c>
      <c r="E137" s="92">
        <v>1</v>
      </c>
      <c r="F137" s="92">
        <v>2</v>
      </c>
      <c r="G137" s="92">
        <v>2</v>
      </c>
      <c r="H137" s="92">
        <v>3</v>
      </c>
      <c r="I137" s="92">
        <v>3</v>
      </c>
      <c r="J137" s="92">
        <v>1</v>
      </c>
      <c r="K137" s="92">
        <v>2</v>
      </c>
      <c r="L137" s="92">
        <v>2</v>
      </c>
      <c r="M137" s="92">
        <v>3</v>
      </c>
      <c r="N137" s="92">
        <v>3</v>
      </c>
      <c r="O137" s="93">
        <v>3</v>
      </c>
      <c r="P137" s="93">
        <v>3</v>
      </c>
      <c r="Q137" s="93">
        <v>3</v>
      </c>
      <c r="R137" s="93">
        <v>3</v>
      </c>
      <c r="S137" s="93">
        <v>2</v>
      </c>
      <c r="T137" s="93">
        <v>2</v>
      </c>
      <c r="U137" s="93">
        <v>2</v>
      </c>
      <c r="V137" s="93">
        <v>2</v>
      </c>
      <c r="W137" s="95">
        <v>2</v>
      </c>
      <c r="X137" s="95">
        <v>2</v>
      </c>
      <c r="Y137" s="93">
        <v>3</v>
      </c>
      <c r="Z137" s="93">
        <v>3</v>
      </c>
    </row>
    <row r="138" spans="1:26" ht="15" customHeight="1" x14ac:dyDescent="0.25">
      <c r="A138" s="121"/>
      <c r="B138" s="91"/>
      <c r="C138" s="91"/>
      <c r="D138" s="91" t="s">
        <v>87</v>
      </c>
      <c r="E138" s="92">
        <v>1</v>
      </c>
      <c r="F138" s="92">
        <v>1</v>
      </c>
      <c r="G138" s="92">
        <v>2</v>
      </c>
      <c r="H138" s="92">
        <v>3</v>
      </c>
      <c r="I138" s="92">
        <v>3</v>
      </c>
      <c r="J138" s="92"/>
      <c r="K138" s="92"/>
      <c r="L138" s="92"/>
      <c r="M138" s="92">
        <v>1</v>
      </c>
      <c r="N138" s="92">
        <v>1</v>
      </c>
      <c r="O138" s="93">
        <v>3</v>
      </c>
      <c r="P138" s="93">
        <v>3</v>
      </c>
      <c r="Q138" s="93">
        <v>3</v>
      </c>
      <c r="R138" s="93">
        <v>3</v>
      </c>
      <c r="S138" s="93">
        <v>1</v>
      </c>
      <c r="T138" s="93">
        <v>1</v>
      </c>
      <c r="U138" s="93">
        <v>1</v>
      </c>
      <c r="V138" s="93">
        <v>1</v>
      </c>
      <c r="W138" s="95">
        <v>1</v>
      </c>
      <c r="X138" s="95">
        <v>1</v>
      </c>
      <c r="Y138" s="93">
        <v>3</v>
      </c>
      <c r="Z138" s="93">
        <v>3</v>
      </c>
    </row>
    <row r="139" spans="1:26" ht="15" customHeight="1" x14ac:dyDescent="0.25">
      <c r="A139" s="121"/>
      <c r="B139" s="91"/>
      <c r="C139" s="91"/>
      <c r="D139" s="94" t="s">
        <v>265</v>
      </c>
      <c r="E139" s="92">
        <v>1</v>
      </c>
      <c r="F139" s="92">
        <v>1</v>
      </c>
      <c r="G139" s="92">
        <v>2</v>
      </c>
      <c r="H139" s="92">
        <v>3</v>
      </c>
      <c r="I139" s="92">
        <v>3</v>
      </c>
      <c r="J139" s="92"/>
      <c r="K139" s="92"/>
      <c r="L139" s="92"/>
      <c r="M139" s="92">
        <v>1</v>
      </c>
      <c r="N139" s="92">
        <v>1</v>
      </c>
      <c r="O139" s="93">
        <v>3</v>
      </c>
      <c r="P139" s="93">
        <v>3</v>
      </c>
      <c r="Q139" s="93">
        <v>3</v>
      </c>
      <c r="R139" s="93">
        <v>3</v>
      </c>
      <c r="S139" s="93">
        <v>1</v>
      </c>
      <c r="T139" s="93">
        <v>1</v>
      </c>
      <c r="U139" s="93">
        <v>1</v>
      </c>
      <c r="V139" s="93">
        <v>1</v>
      </c>
      <c r="W139" s="95">
        <v>1</v>
      </c>
      <c r="X139" s="95">
        <v>1</v>
      </c>
      <c r="Y139" s="93">
        <v>3</v>
      </c>
      <c r="Z139" s="93">
        <v>3</v>
      </c>
    </row>
    <row r="140" spans="1:26" ht="15" customHeight="1" x14ac:dyDescent="0.25">
      <c r="A140" s="121"/>
      <c r="B140" s="91"/>
      <c r="C140" s="91"/>
      <c r="D140" s="94" t="s">
        <v>88</v>
      </c>
      <c r="E140" s="92">
        <v>1</v>
      </c>
      <c r="F140" s="92">
        <v>1</v>
      </c>
      <c r="G140" s="92">
        <v>2</v>
      </c>
      <c r="H140" s="92">
        <v>3</v>
      </c>
      <c r="I140" s="92">
        <v>3</v>
      </c>
      <c r="J140" s="92"/>
      <c r="K140" s="92"/>
      <c r="L140" s="92"/>
      <c r="M140" s="92">
        <v>1</v>
      </c>
      <c r="N140" s="92">
        <v>1</v>
      </c>
      <c r="O140" s="93">
        <v>3</v>
      </c>
      <c r="P140" s="93">
        <v>3</v>
      </c>
      <c r="Q140" s="93">
        <v>3</v>
      </c>
      <c r="R140" s="93">
        <v>3</v>
      </c>
      <c r="S140" s="93">
        <v>1</v>
      </c>
      <c r="T140" s="93">
        <v>1</v>
      </c>
      <c r="U140" s="93">
        <v>1</v>
      </c>
      <c r="V140" s="93">
        <v>1</v>
      </c>
      <c r="W140" s="95">
        <v>1</v>
      </c>
      <c r="X140" s="95">
        <v>1</v>
      </c>
      <c r="Y140" s="93">
        <v>3</v>
      </c>
      <c r="Z140" s="93">
        <v>3</v>
      </c>
    </row>
    <row r="141" spans="1:26" ht="15" customHeight="1" x14ac:dyDescent="0.25">
      <c r="A141" s="121"/>
      <c r="B141" s="91"/>
      <c r="C141" s="91"/>
      <c r="D141" s="94" t="s">
        <v>266</v>
      </c>
      <c r="E141" s="92">
        <v>1</v>
      </c>
      <c r="F141" s="92">
        <v>1</v>
      </c>
      <c r="G141" s="92">
        <v>2</v>
      </c>
      <c r="H141" s="92">
        <v>3</v>
      </c>
      <c r="I141" s="92">
        <v>3</v>
      </c>
      <c r="J141" s="92"/>
      <c r="K141" s="92"/>
      <c r="L141" s="92"/>
      <c r="M141" s="92">
        <v>1</v>
      </c>
      <c r="N141" s="92">
        <v>1</v>
      </c>
      <c r="O141" s="93">
        <v>3</v>
      </c>
      <c r="P141" s="93">
        <v>3</v>
      </c>
      <c r="Q141" s="93">
        <v>3</v>
      </c>
      <c r="R141" s="93">
        <v>3</v>
      </c>
      <c r="S141" s="93">
        <v>1</v>
      </c>
      <c r="T141" s="93">
        <v>1</v>
      </c>
      <c r="U141" s="93">
        <v>1</v>
      </c>
      <c r="V141" s="93">
        <v>1</v>
      </c>
      <c r="W141" s="95">
        <v>1</v>
      </c>
      <c r="X141" s="95">
        <v>1</v>
      </c>
      <c r="Y141" s="93">
        <v>3</v>
      </c>
      <c r="Z141" s="93">
        <v>3</v>
      </c>
    </row>
    <row r="142" spans="1:26" ht="15" customHeight="1" x14ac:dyDescent="0.25">
      <c r="A142" s="121"/>
      <c r="B142" s="91"/>
      <c r="C142" s="91"/>
      <c r="D142" s="94" t="s">
        <v>267</v>
      </c>
      <c r="E142" s="92">
        <v>1</v>
      </c>
      <c r="F142" s="92">
        <v>1</v>
      </c>
      <c r="G142" s="92">
        <v>2</v>
      </c>
      <c r="H142" s="92">
        <v>3</v>
      </c>
      <c r="I142" s="92">
        <v>3</v>
      </c>
      <c r="J142" s="92"/>
      <c r="K142" s="92"/>
      <c r="L142" s="92"/>
      <c r="M142" s="92">
        <v>1</v>
      </c>
      <c r="N142" s="92">
        <v>1</v>
      </c>
      <c r="O142" s="93">
        <v>3</v>
      </c>
      <c r="P142" s="93">
        <v>3</v>
      </c>
      <c r="Q142" s="93">
        <v>3</v>
      </c>
      <c r="R142" s="93">
        <v>3</v>
      </c>
      <c r="S142" s="93">
        <v>1</v>
      </c>
      <c r="T142" s="93">
        <v>1</v>
      </c>
      <c r="U142" s="93">
        <v>1</v>
      </c>
      <c r="V142" s="93">
        <v>1</v>
      </c>
      <c r="W142" s="95">
        <v>1</v>
      </c>
      <c r="X142" s="95">
        <v>1</v>
      </c>
      <c r="Y142" s="93">
        <v>3</v>
      </c>
      <c r="Z142" s="93">
        <v>3</v>
      </c>
    </row>
    <row r="143" spans="1:26" x14ac:dyDescent="0.25">
      <c r="A143" s="121"/>
      <c r="B143" s="91"/>
      <c r="C143" s="91"/>
      <c r="D143" s="91" t="s">
        <v>268</v>
      </c>
      <c r="E143" s="92">
        <v>1</v>
      </c>
      <c r="F143" s="92">
        <v>1</v>
      </c>
      <c r="G143" s="92">
        <v>2</v>
      </c>
      <c r="H143" s="92">
        <v>3</v>
      </c>
      <c r="I143" s="92">
        <v>3</v>
      </c>
      <c r="J143" s="92"/>
      <c r="K143" s="92"/>
      <c r="L143" s="92"/>
      <c r="M143" s="92">
        <v>1</v>
      </c>
      <c r="N143" s="92">
        <v>1</v>
      </c>
      <c r="O143" s="93">
        <v>3</v>
      </c>
      <c r="P143" s="93">
        <v>3</v>
      </c>
      <c r="Q143" s="93">
        <v>3</v>
      </c>
      <c r="R143" s="93">
        <v>3</v>
      </c>
      <c r="S143" s="93">
        <v>1</v>
      </c>
      <c r="T143" s="93">
        <v>1</v>
      </c>
      <c r="U143" s="93">
        <v>1</v>
      </c>
      <c r="V143" s="93">
        <v>1</v>
      </c>
      <c r="W143" s="95">
        <v>1</v>
      </c>
      <c r="X143" s="95">
        <v>1</v>
      </c>
      <c r="Y143" s="93">
        <v>3</v>
      </c>
      <c r="Z143" s="93">
        <v>3</v>
      </c>
    </row>
    <row r="144" spans="1:26" ht="15" customHeight="1" x14ac:dyDescent="0.25">
      <c r="A144" s="121"/>
      <c r="B144" s="91"/>
      <c r="C144" s="91"/>
      <c r="D144" s="91" t="s">
        <v>269</v>
      </c>
      <c r="E144" s="92">
        <v>1</v>
      </c>
      <c r="F144" s="92">
        <v>1</v>
      </c>
      <c r="G144" s="92">
        <v>2</v>
      </c>
      <c r="H144" s="92">
        <v>3</v>
      </c>
      <c r="I144" s="92">
        <v>3</v>
      </c>
      <c r="J144" s="92">
        <v>1</v>
      </c>
      <c r="K144" s="92">
        <v>1</v>
      </c>
      <c r="L144" s="92">
        <v>2</v>
      </c>
      <c r="M144" s="92">
        <v>3</v>
      </c>
      <c r="N144" s="92">
        <v>3</v>
      </c>
      <c r="O144" s="93">
        <v>3</v>
      </c>
      <c r="P144" s="93">
        <v>3</v>
      </c>
      <c r="Q144" s="93">
        <v>3</v>
      </c>
      <c r="R144" s="93">
        <v>3</v>
      </c>
      <c r="S144" s="93">
        <v>1</v>
      </c>
      <c r="T144" s="93">
        <v>1</v>
      </c>
      <c r="U144" s="93">
        <v>1</v>
      </c>
      <c r="V144" s="93">
        <v>1</v>
      </c>
      <c r="W144" s="95">
        <v>1</v>
      </c>
      <c r="X144" s="95">
        <v>1</v>
      </c>
      <c r="Y144" s="93">
        <v>3</v>
      </c>
      <c r="Z144" s="93">
        <v>3</v>
      </c>
    </row>
    <row r="145" spans="1:26" ht="15" customHeight="1" x14ac:dyDescent="0.25">
      <c r="A145" s="121"/>
      <c r="B145" s="91" t="s">
        <v>775</v>
      </c>
      <c r="C145" s="91"/>
      <c r="D145" s="91"/>
      <c r="E145" s="92"/>
      <c r="F145" s="92"/>
      <c r="G145" s="92"/>
      <c r="H145" s="92"/>
      <c r="I145" s="92"/>
      <c r="J145" s="92"/>
      <c r="K145" s="92"/>
      <c r="L145" s="92"/>
      <c r="M145" s="92"/>
      <c r="N145" s="92"/>
      <c r="O145" s="93"/>
      <c r="P145" s="93"/>
      <c r="Q145" s="93"/>
      <c r="R145" s="93"/>
      <c r="S145" s="93"/>
      <c r="T145" s="93"/>
      <c r="U145" s="93"/>
      <c r="V145" s="93"/>
      <c r="W145" s="95"/>
      <c r="X145" s="95"/>
      <c r="Y145" s="93"/>
      <c r="Z145" s="93"/>
    </row>
    <row r="146" spans="1:26" ht="15" customHeight="1" x14ac:dyDescent="0.25">
      <c r="A146" s="121"/>
      <c r="B146" s="91"/>
      <c r="C146" s="91" t="s">
        <v>775</v>
      </c>
      <c r="D146" s="91" t="s">
        <v>543</v>
      </c>
      <c r="E146" s="92">
        <v>1</v>
      </c>
      <c r="F146" s="92">
        <v>1</v>
      </c>
      <c r="G146" s="92">
        <v>2</v>
      </c>
      <c r="H146" s="92">
        <v>3</v>
      </c>
      <c r="I146" s="92">
        <v>3</v>
      </c>
      <c r="J146" s="92"/>
      <c r="K146" s="92"/>
      <c r="L146" s="92"/>
      <c r="M146" s="92">
        <v>1</v>
      </c>
      <c r="N146" s="92">
        <v>1</v>
      </c>
      <c r="O146" s="93">
        <v>3</v>
      </c>
      <c r="P146" s="93">
        <v>3</v>
      </c>
      <c r="Q146" s="93">
        <v>3</v>
      </c>
      <c r="R146" s="93">
        <v>3</v>
      </c>
      <c r="S146" s="93">
        <v>1</v>
      </c>
      <c r="T146" s="93">
        <v>1</v>
      </c>
      <c r="U146" s="93">
        <v>1</v>
      </c>
      <c r="V146" s="93">
        <v>1</v>
      </c>
      <c r="W146" s="95">
        <v>1</v>
      </c>
      <c r="X146" s="95">
        <v>1</v>
      </c>
      <c r="Y146" s="93">
        <v>3</v>
      </c>
      <c r="Z146" s="93">
        <v>3</v>
      </c>
    </row>
    <row r="147" spans="1:26" ht="15" customHeight="1" x14ac:dyDescent="0.25">
      <c r="A147" s="121"/>
      <c r="B147" s="91"/>
      <c r="C147" s="91"/>
      <c r="D147" s="91" t="s">
        <v>545</v>
      </c>
      <c r="E147" s="92">
        <v>1</v>
      </c>
      <c r="F147" s="92">
        <v>1</v>
      </c>
      <c r="G147" s="92">
        <v>2</v>
      </c>
      <c r="H147" s="92">
        <v>3</v>
      </c>
      <c r="I147" s="92">
        <v>3</v>
      </c>
      <c r="J147" s="92"/>
      <c r="K147" s="92"/>
      <c r="L147" s="92"/>
      <c r="M147" s="92">
        <v>1</v>
      </c>
      <c r="N147" s="92">
        <v>1</v>
      </c>
      <c r="O147" s="93">
        <v>3</v>
      </c>
      <c r="P147" s="93">
        <v>3</v>
      </c>
      <c r="Q147" s="93">
        <v>3</v>
      </c>
      <c r="R147" s="93">
        <v>3</v>
      </c>
      <c r="S147" s="93">
        <v>1</v>
      </c>
      <c r="T147" s="93">
        <v>1</v>
      </c>
      <c r="U147" s="93">
        <v>1</v>
      </c>
      <c r="V147" s="93">
        <v>1</v>
      </c>
      <c r="W147" s="95">
        <v>1</v>
      </c>
      <c r="X147" s="95">
        <v>1</v>
      </c>
      <c r="Y147" s="93">
        <v>3</v>
      </c>
      <c r="Z147" s="93">
        <v>3</v>
      </c>
    </row>
    <row r="148" spans="1:26" ht="15" customHeight="1" x14ac:dyDescent="0.25">
      <c r="A148" s="121"/>
      <c r="B148" s="91"/>
      <c r="C148" s="91"/>
      <c r="D148" s="94" t="s">
        <v>547</v>
      </c>
      <c r="E148" s="92">
        <v>1</v>
      </c>
      <c r="F148" s="92">
        <v>1</v>
      </c>
      <c r="G148" s="92">
        <v>2</v>
      </c>
      <c r="H148" s="92">
        <v>3</v>
      </c>
      <c r="I148" s="92">
        <v>3</v>
      </c>
      <c r="J148" s="92"/>
      <c r="K148" s="92"/>
      <c r="L148" s="92"/>
      <c r="M148" s="92">
        <v>1</v>
      </c>
      <c r="N148" s="92">
        <v>1</v>
      </c>
      <c r="O148" s="93">
        <v>3</v>
      </c>
      <c r="P148" s="93">
        <v>3</v>
      </c>
      <c r="Q148" s="93">
        <v>3</v>
      </c>
      <c r="R148" s="93">
        <v>3</v>
      </c>
      <c r="S148" s="93">
        <v>1</v>
      </c>
      <c r="T148" s="93">
        <v>1</v>
      </c>
      <c r="U148" s="93">
        <v>1</v>
      </c>
      <c r="V148" s="93">
        <v>1</v>
      </c>
      <c r="W148" s="95">
        <v>1</v>
      </c>
      <c r="X148" s="95">
        <v>1</v>
      </c>
      <c r="Y148" s="93">
        <v>3</v>
      </c>
      <c r="Z148" s="93">
        <v>3</v>
      </c>
    </row>
    <row r="149" spans="1:26" ht="15" customHeight="1" x14ac:dyDescent="0.25">
      <c r="A149" s="121"/>
      <c r="B149" s="91"/>
      <c r="C149" s="91"/>
      <c r="D149" s="94" t="s">
        <v>549</v>
      </c>
      <c r="E149" s="92">
        <v>1</v>
      </c>
      <c r="F149" s="92">
        <v>1</v>
      </c>
      <c r="G149" s="92">
        <v>2</v>
      </c>
      <c r="H149" s="92">
        <v>3</v>
      </c>
      <c r="I149" s="92">
        <v>3</v>
      </c>
      <c r="J149" s="92"/>
      <c r="K149" s="92"/>
      <c r="L149" s="92"/>
      <c r="M149" s="92">
        <v>1</v>
      </c>
      <c r="N149" s="92">
        <v>1</v>
      </c>
      <c r="O149" s="93">
        <v>3</v>
      </c>
      <c r="P149" s="93">
        <v>3</v>
      </c>
      <c r="Q149" s="93">
        <v>3</v>
      </c>
      <c r="R149" s="93">
        <v>3</v>
      </c>
      <c r="S149" s="93">
        <v>1</v>
      </c>
      <c r="T149" s="93">
        <v>1</v>
      </c>
      <c r="U149" s="93">
        <v>1</v>
      </c>
      <c r="V149" s="93">
        <v>1</v>
      </c>
      <c r="W149" s="95">
        <v>1</v>
      </c>
      <c r="X149" s="95">
        <v>1</v>
      </c>
      <c r="Y149" s="93">
        <v>3</v>
      </c>
      <c r="Z149" s="93">
        <v>3</v>
      </c>
    </row>
    <row r="150" spans="1:26" ht="15" customHeight="1" x14ac:dyDescent="0.25">
      <c r="A150" s="121"/>
      <c r="B150" s="91"/>
      <c r="C150" s="91"/>
      <c r="D150" s="94" t="s">
        <v>551</v>
      </c>
      <c r="E150" s="92">
        <v>1</v>
      </c>
      <c r="F150" s="92">
        <v>1</v>
      </c>
      <c r="G150" s="92">
        <v>2</v>
      </c>
      <c r="H150" s="92">
        <v>3</v>
      </c>
      <c r="I150" s="92">
        <v>3</v>
      </c>
      <c r="J150" s="92"/>
      <c r="K150" s="92"/>
      <c r="L150" s="92"/>
      <c r="M150" s="92">
        <v>1</v>
      </c>
      <c r="N150" s="92">
        <v>1</v>
      </c>
      <c r="O150" s="93">
        <v>3</v>
      </c>
      <c r="P150" s="93">
        <v>3</v>
      </c>
      <c r="Q150" s="93">
        <v>3</v>
      </c>
      <c r="R150" s="93">
        <v>3</v>
      </c>
      <c r="S150" s="93">
        <v>1</v>
      </c>
      <c r="T150" s="93">
        <v>1</v>
      </c>
      <c r="U150" s="93">
        <v>1</v>
      </c>
      <c r="V150" s="93">
        <v>1</v>
      </c>
      <c r="W150" s="95">
        <v>1</v>
      </c>
      <c r="X150" s="95">
        <v>1</v>
      </c>
      <c r="Y150" s="93">
        <v>3</v>
      </c>
      <c r="Z150" s="93">
        <v>3</v>
      </c>
    </row>
    <row r="151" spans="1:26" ht="15" customHeight="1" x14ac:dyDescent="0.25">
      <c r="A151" s="121"/>
      <c r="B151" s="91"/>
      <c r="C151" s="91"/>
      <c r="D151" s="94" t="s">
        <v>540</v>
      </c>
      <c r="E151" s="92">
        <v>1</v>
      </c>
      <c r="F151" s="92">
        <v>1</v>
      </c>
      <c r="G151" s="92">
        <v>2</v>
      </c>
      <c r="H151" s="92">
        <v>3</v>
      </c>
      <c r="I151" s="92">
        <v>3</v>
      </c>
      <c r="J151" s="92"/>
      <c r="K151" s="92"/>
      <c r="L151" s="92"/>
      <c r="M151" s="92">
        <v>1</v>
      </c>
      <c r="N151" s="92">
        <v>1</v>
      </c>
      <c r="O151" s="93">
        <v>3</v>
      </c>
      <c r="P151" s="93">
        <v>3</v>
      </c>
      <c r="Q151" s="93">
        <v>3</v>
      </c>
      <c r="R151" s="93">
        <v>3</v>
      </c>
      <c r="S151" s="93">
        <v>1</v>
      </c>
      <c r="T151" s="93">
        <v>1</v>
      </c>
      <c r="U151" s="93">
        <v>1</v>
      </c>
      <c r="V151" s="93">
        <v>1</v>
      </c>
      <c r="W151" s="95">
        <v>1</v>
      </c>
      <c r="X151" s="95">
        <v>1</v>
      </c>
      <c r="Y151" s="93">
        <v>3</v>
      </c>
      <c r="Z151" s="93">
        <v>3</v>
      </c>
    </row>
    <row r="152" spans="1:26" ht="15" customHeight="1" x14ac:dyDescent="0.25">
      <c r="A152" s="121"/>
      <c r="B152" s="91"/>
      <c r="C152" s="91"/>
      <c r="D152" s="94" t="s">
        <v>270</v>
      </c>
      <c r="E152" s="92">
        <v>1</v>
      </c>
      <c r="F152" s="92">
        <v>1</v>
      </c>
      <c r="G152" s="92">
        <v>2</v>
      </c>
      <c r="H152" s="92">
        <v>3</v>
      </c>
      <c r="I152" s="92">
        <v>3</v>
      </c>
      <c r="J152" s="92"/>
      <c r="K152" s="92"/>
      <c r="L152" s="92"/>
      <c r="M152" s="92">
        <v>1</v>
      </c>
      <c r="N152" s="92">
        <v>1</v>
      </c>
      <c r="O152" s="93">
        <v>3</v>
      </c>
      <c r="P152" s="93">
        <v>3</v>
      </c>
      <c r="Q152" s="93">
        <v>3</v>
      </c>
      <c r="R152" s="93">
        <v>3</v>
      </c>
      <c r="S152" s="93">
        <v>1</v>
      </c>
      <c r="T152" s="93">
        <v>1</v>
      </c>
      <c r="U152" s="93">
        <v>1</v>
      </c>
      <c r="V152" s="93">
        <v>1</v>
      </c>
      <c r="W152" s="95">
        <v>1</v>
      </c>
      <c r="X152" s="95">
        <v>1</v>
      </c>
      <c r="Y152" s="93">
        <v>3</v>
      </c>
      <c r="Z152" s="93">
        <v>3</v>
      </c>
    </row>
    <row r="153" spans="1:26" ht="15" customHeight="1" x14ac:dyDescent="0.25">
      <c r="A153" s="121"/>
      <c r="B153" s="91"/>
      <c r="C153" s="91"/>
      <c r="D153" s="94" t="s">
        <v>553</v>
      </c>
      <c r="E153" s="92">
        <v>1</v>
      </c>
      <c r="F153" s="92">
        <v>1</v>
      </c>
      <c r="G153" s="92">
        <v>2</v>
      </c>
      <c r="H153" s="92">
        <v>3</v>
      </c>
      <c r="I153" s="92">
        <v>3</v>
      </c>
      <c r="J153" s="92"/>
      <c r="K153" s="92"/>
      <c r="L153" s="92"/>
      <c r="M153" s="92">
        <v>1</v>
      </c>
      <c r="N153" s="92">
        <v>1</v>
      </c>
      <c r="O153" s="93">
        <v>3</v>
      </c>
      <c r="P153" s="93">
        <v>3</v>
      </c>
      <c r="Q153" s="93">
        <v>3</v>
      </c>
      <c r="R153" s="93">
        <v>3</v>
      </c>
      <c r="S153" s="93">
        <v>1</v>
      </c>
      <c r="T153" s="93">
        <v>1</v>
      </c>
      <c r="U153" s="93">
        <v>1</v>
      </c>
      <c r="V153" s="93">
        <v>1</v>
      </c>
      <c r="W153" s="95">
        <v>1</v>
      </c>
      <c r="X153" s="95">
        <v>1</v>
      </c>
      <c r="Y153" s="93">
        <v>3</v>
      </c>
      <c r="Z153" s="93">
        <v>3</v>
      </c>
    </row>
    <row r="154" spans="1:26" ht="15" customHeight="1" x14ac:dyDescent="0.25">
      <c r="A154" s="121"/>
      <c r="B154" s="91" t="s">
        <v>776</v>
      </c>
      <c r="C154" s="91"/>
      <c r="D154" s="94"/>
      <c r="E154" s="92"/>
      <c r="F154" s="92"/>
      <c r="G154" s="92"/>
      <c r="H154" s="92"/>
      <c r="I154" s="92"/>
      <c r="J154" s="92"/>
      <c r="K154" s="92"/>
      <c r="L154" s="92"/>
      <c r="M154" s="92"/>
      <c r="N154" s="92"/>
      <c r="O154" s="93"/>
      <c r="P154" s="93"/>
      <c r="Q154" s="93"/>
      <c r="R154" s="93"/>
      <c r="S154" s="93"/>
      <c r="T154" s="93"/>
      <c r="U154" s="93"/>
      <c r="V154" s="93"/>
      <c r="W154" s="95"/>
      <c r="X154" s="95"/>
      <c r="Y154" s="93"/>
      <c r="Z154" s="93"/>
    </row>
    <row r="155" spans="1:26" ht="15" customHeight="1" x14ac:dyDescent="0.25">
      <c r="A155" s="121"/>
      <c r="B155" s="91"/>
      <c r="C155" s="91" t="s">
        <v>776</v>
      </c>
      <c r="D155" s="94" t="s">
        <v>653</v>
      </c>
      <c r="E155" s="92">
        <v>1</v>
      </c>
      <c r="F155" s="92">
        <v>1</v>
      </c>
      <c r="G155" s="92">
        <v>2</v>
      </c>
      <c r="H155" s="92">
        <v>3</v>
      </c>
      <c r="I155" s="92">
        <v>3</v>
      </c>
      <c r="J155" s="92">
        <v>1</v>
      </c>
      <c r="K155" s="92">
        <v>2</v>
      </c>
      <c r="L155" s="92">
        <v>2</v>
      </c>
      <c r="M155" s="92">
        <v>3</v>
      </c>
      <c r="N155" s="92">
        <v>3</v>
      </c>
      <c r="O155" s="93">
        <v>3</v>
      </c>
      <c r="P155" s="93">
        <v>3</v>
      </c>
      <c r="Q155" s="93">
        <v>3</v>
      </c>
      <c r="R155" s="93">
        <v>3</v>
      </c>
      <c r="S155" s="93">
        <v>2</v>
      </c>
      <c r="T155" s="93">
        <v>2</v>
      </c>
      <c r="U155" s="93">
        <v>2</v>
      </c>
      <c r="V155" s="93">
        <v>2</v>
      </c>
      <c r="W155" s="95">
        <v>2</v>
      </c>
      <c r="X155" s="95">
        <v>2</v>
      </c>
      <c r="Y155" s="93">
        <v>3</v>
      </c>
      <c r="Z155" s="93">
        <v>3</v>
      </c>
    </row>
    <row r="156" spans="1:26" ht="15" customHeight="1" x14ac:dyDescent="0.25">
      <c r="A156" s="121"/>
      <c r="B156" s="91"/>
      <c r="C156" s="91"/>
      <c r="D156" s="91" t="s">
        <v>777</v>
      </c>
      <c r="E156" s="92">
        <v>1</v>
      </c>
      <c r="F156" s="92">
        <v>1</v>
      </c>
      <c r="G156" s="92">
        <v>2</v>
      </c>
      <c r="H156" s="92">
        <v>3</v>
      </c>
      <c r="I156" s="92">
        <v>3</v>
      </c>
      <c r="J156" s="92"/>
      <c r="K156" s="92"/>
      <c r="L156" s="92"/>
      <c r="M156" s="92">
        <v>1</v>
      </c>
      <c r="N156" s="92">
        <v>1</v>
      </c>
      <c r="O156" s="93">
        <v>3</v>
      </c>
      <c r="P156" s="93">
        <v>3</v>
      </c>
      <c r="Q156" s="93">
        <v>3</v>
      </c>
      <c r="R156" s="93">
        <v>3</v>
      </c>
      <c r="S156" s="93">
        <v>1</v>
      </c>
      <c r="T156" s="93">
        <v>1</v>
      </c>
      <c r="U156" s="93">
        <v>1</v>
      </c>
      <c r="V156" s="93">
        <v>1</v>
      </c>
      <c r="W156" s="95">
        <v>1</v>
      </c>
      <c r="X156" s="95">
        <v>1</v>
      </c>
      <c r="Y156" s="93">
        <v>3</v>
      </c>
      <c r="Z156" s="93">
        <v>3</v>
      </c>
    </row>
    <row r="157" spans="1:26" ht="15" customHeight="1" x14ac:dyDescent="0.25">
      <c r="A157" s="121"/>
      <c r="B157" s="91"/>
      <c r="C157" s="91"/>
      <c r="D157" s="94" t="s">
        <v>778</v>
      </c>
      <c r="E157" s="92">
        <v>1</v>
      </c>
      <c r="F157" s="92">
        <v>1</v>
      </c>
      <c r="G157" s="92">
        <v>2</v>
      </c>
      <c r="H157" s="92">
        <v>3</v>
      </c>
      <c r="I157" s="92">
        <v>3</v>
      </c>
      <c r="J157" s="92"/>
      <c r="K157" s="92"/>
      <c r="L157" s="92"/>
      <c r="M157" s="92">
        <v>1</v>
      </c>
      <c r="N157" s="92">
        <v>1</v>
      </c>
      <c r="O157" s="93">
        <v>3</v>
      </c>
      <c r="P157" s="93">
        <v>3</v>
      </c>
      <c r="Q157" s="93">
        <v>3</v>
      </c>
      <c r="R157" s="93">
        <v>3</v>
      </c>
      <c r="S157" s="93">
        <v>1</v>
      </c>
      <c r="T157" s="93">
        <v>1</v>
      </c>
      <c r="U157" s="93">
        <v>1</v>
      </c>
      <c r="V157" s="93">
        <v>1</v>
      </c>
      <c r="W157" s="95">
        <v>1</v>
      </c>
      <c r="X157" s="95">
        <v>1</v>
      </c>
      <c r="Y157" s="93">
        <v>3</v>
      </c>
      <c r="Z157" s="93">
        <v>3</v>
      </c>
    </row>
    <row r="158" spans="1:26" ht="15" customHeight="1" x14ac:dyDescent="0.25">
      <c r="A158" s="121"/>
      <c r="B158" s="91"/>
      <c r="C158" s="91"/>
      <c r="D158" s="94" t="s">
        <v>779</v>
      </c>
      <c r="E158" s="92">
        <v>1</v>
      </c>
      <c r="F158" s="92">
        <v>1</v>
      </c>
      <c r="G158" s="92">
        <v>2</v>
      </c>
      <c r="H158" s="92">
        <v>3</v>
      </c>
      <c r="I158" s="92">
        <v>3</v>
      </c>
      <c r="J158" s="92"/>
      <c r="K158" s="92"/>
      <c r="L158" s="92"/>
      <c r="M158" s="92">
        <v>1</v>
      </c>
      <c r="N158" s="92">
        <v>1</v>
      </c>
      <c r="O158" s="93">
        <v>3</v>
      </c>
      <c r="P158" s="93">
        <v>3</v>
      </c>
      <c r="Q158" s="93">
        <v>3</v>
      </c>
      <c r="R158" s="93">
        <v>3</v>
      </c>
      <c r="S158" s="93">
        <v>1</v>
      </c>
      <c r="T158" s="93">
        <v>1</v>
      </c>
      <c r="U158" s="93">
        <v>1</v>
      </c>
      <c r="V158" s="93">
        <v>1</v>
      </c>
      <c r="W158" s="95">
        <v>1</v>
      </c>
      <c r="X158" s="95">
        <v>1</v>
      </c>
      <c r="Y158" s="93">
        <v>3</v>
      </c>
      <c r="Z158" s="93">
        <v>3</v>
      </c>
    </row>
    <row r="159" spans="1:26" ht="15" customHeight="1" x14ac:dyDescent="0.25">
      <c r="A159" s="121"/>
      <c r="B159" s="91"/>
      <c r="C159" s="91"/>
      <c r="D159" s="94" t="s">
        <v>780</v>
      </c>
      <c r="E159" s="92">
        <v>1</v>
      </c>
      <c r="F159" s="92">
        <v>2</v>
      </c>
      <c r="G159" s="92">
        <v>2</v>
      </c>
      <c r="H159" s="92">
        <v>3</v>
      </c>
      <c r="I159" s="92">
        <v>3</v>
      </c>
      <c r="J159" s="92"/>
      <c r="K159" s="92"/>
      <c r="L159" s="92"/>
      <c r="M159" s="92">
        <v>1</v>
      </c>
      <c r="N159" s="92">
        <v>1</v>
      </c>
      <c r="O159" s="93">
        <v>3</v>
      </c>
      <c r="P159" s="93">
        <v>3</v>
      </c>
      <c r="Q159" s="93">
        <v>3</v>
      </c>
      <c r="R159" s="93">
        <v>3</v>
      </c>
      <c r="S159" s="93">
        <v>1</v>
      </c>
      <c r="T159" s="93">
        <v>1</v>
      </c>
      <c r="U159" s="93">
        <v>1</v>
      </c>
      <c r="V159" s="93">
        <v>1</v>
      </c>
      <c r="W159" s="95">
        <v>1</v>
      </c>
      <c r="X159" s="95">
        <v>1</v>
      </c>
      <c r="Y159" s="93">
        <v>3</v>
      </c>
      <c r="Z159" s="93">
        <v>3</v>
      </c>
    </row>
    <row r="160" spans="1:26" ht="15" customHeight="1" x14ac:dyDescent="0.25">
      <c r="A160" s="121"/>
      <c r="B160" s="91"/>
      <c r="C160" s="91"/>
      <c r="D160" s="94" t="s">
        <v>781</v>
      </c>
      <c r="E160" s="92">
        <v>1</v>
      </c>
      <c r="F160" s="92">
        <v>1</v>
      </c>
      <c r="G160" s="92">
        <v>2</v>
      </c>
      <c r="H160" s="92">
        <v>3</v>
      </c>
      <c r="I160" s="92">
        <v>3</v>
      </c>
      <c r="J160" s="92"/>
      <c r="K160" s="92"/>
      <c r="L160" s="92"/>
      <c r="M160" s="92">
        <v>1</v>
      </c>
      <c r="N160" s="92">
        <v>1</v>
      </c>
      <c r="O160" s="93">
        <v>3</v>
      </c>
      <c r="P160" s="93">
        <v>3</v>
      </c>
      <c r="Q160" s="93">
        <v>3</v>
      </c>
      <c r="R160" s="93">
        <v>3</v>
      </c>
      <c r="S160" s="93">
        <v>1</v>
      </c>
      <c r="T160" s="93">
        <v>1</v>
      </c>
      <c r="U160" s="93">
        <v>1</v>
      </c>
      <c r="V160" s="93">
        <v>1</v>
      </c>
      <c r="W160" s="95">
        <v>1</v>
      </c>
      <c r="X160" s="95">
        <v>1</v>
      </c>
      <c r="Y160" s="93">
        <v>3</v>
      </c>
      <c r="Z160" s="93">
        <v>3</v>
      </c>
    </row>
    <row r="161" spans="1:26" ht="15" customHeight="1" x14ac:dyDescent="0.25">
      <c r="A161" s="121"/>
      <c r="B161" s="91"/>
      <c r="C161" s="91"/>
      <c r="D161" s="94" t="s">
        <v>782</v>
      </c>
      <c r="E161" s="92">
        <v>1</v>
      </c>
      <c r="F161" s="92">
        <v>1</v>
      </c>
      <c r="G161" s="92">
        <v>2</v>
      </c>
      <c r="H161" s="92">
        <v>3</v>
      </c>
      <c r="I161" s="92">
        <v>3</v>
      </c>
      <c r="J161" s="92"/>
      <c r="K161" s="92"/>
      <c r="L161" s="92"/>
      <c r="M161" s="92">
        <v>1</v>
      </c>
      <c r="N161" s="92">
        <v>1</v>
      </c>
      <c r="O161" s="93">
        <v>3</v>
      </c>
      <c r="P161" s="93">
        <v>3</v>
      </c>
      <c r="Q161" s="93">
        <v>3</v>
      </c>
      <c r="R161" s="93">
        <v>3</v>
      </c>
      <c r="S161" s="93">
        <v>1</v>
      </c>
      <c r="T161" s="93">
        <v>1</v>
      </c>
      <c r="U161" s="93">
        <v>1</v>
      </c>
      <c r="V161" s="93">
        <v>1</v>
      </c>
      <c r="W161" s="95">
        <v>1</v>
      </c>
      <c r="X161" s="95">
        <v>1</v>
      </c>
      <c r="Y161" s="93">
        <v>3</v>
      </c>
      <c r="Z161" s="93">
        <v>3</v>
      </c>
    </row>
    <row r="162" spans="1:26" ht="15" customHeight="1" x14ac:dyDescent="0.25">
      <c r="A162" s="121"/>
      <c r="B162" s="91"/>
      <c r="C162" s="91"/>
      <c r="D162" s="94" t="s">
        <v>783</v>
      </c>
      <c r="E162" s="92">
        <v>1</v>
      </c>
      <c r="F162" s="92">
        <v>1</v>
      </c>
      <c r="G162" s="92">
        <v>2</v>
      </c>
      <c r="H162" s="92">
        <v>3</v>
      </c>
      <c r="I162" s="92">
        <v>3</v>
      </c>
      <c r="J162" s="92"/>
      <c r="K162" s="92"/>
      <c r="L162" s="92"/>
      <c r="M162" s="92">
        <v>1</v>
      </c>
      <c r="N162" s="92">
        <v>1</v>
      </c>
      <c r="O162" s="93">
        <v>3</v>
      </c>
      <c r="P162" s="93">
        <v>3</v>
      </c>
      <c r="Q162" s="93">
        <v>3</v>
      </c>
      <c r="R162" s="93">
        <v>3</v>
      </c>
      <c r="S162" s="93">
        <v>1</v>
      </c>
      <c r="T162" s="93">
        <v>1</v>
      </c>
      <c r="U162" s="93">
        <v>1</v>
      </c>
      <c r="V162" s="93">
        <v>1</v>
      </c>
      <c r="W162" s="95">
        <v>1</v>
      </c>
      <c r="X162" s="95">
        <v>1</v>
      </c>
      <c r="Y162" s="93">
        <v>3</v>
      </c>
      <c r="Z162" s="93">
        <v>3</v>
      </c>
    </row>
    <row r="163" spans="1:26" ht="15" customHeight="1" x14ac:dyDescent="0.25">
      <c r="A163" s="121"/>
      <c r="B163" s="91"/>
      <c r="C163" s="91"/>
      <c r="D163" s="94" t="s">
        <v>784</v>
      </c>
      <c r="E163" s="92">
        <v>1</v>
      </c>
      <c r="F163" s="92">
        <v>1</v>
      </c>
      <c r="G163" s="92">
        <v>2</v>
      </c>
      <c r="H163" s="92">
        <v>3</v>
      </c>
      <c r="I163" s="92">
        <v>3</v>
      </c>
      <c r="J163" s="92"/>
      <c r="K163" s="92"/>
      <c r="L163" s="92"/>
      <c r="M163" s="92">
        <v>1</v>
      </c>
      <c r="N163" s="92">
        <v>1</v>
      </c>
      <c r="O163" s="93">
        <v>3</v>
      </c>
      <c r="P163" s="93">
        <v>3</v>
      </c>
      <c r="Q163" s="93">
        <v>3</v>
      </c>
      <c r="R163" s="93">
        <v>3</v>
      </c>
      <c r="S163" s="93">
        <v>1</v>
      </c>
      <c r="T163" s="93">
        <v>1</v>
      </c>
      <c r="U163" s="93">
        <v>1</v>
      </c>
      <c r="V163" s="93">
        <v>1</v>
      </c>
      <c r="W163" s="95">
        <v>1</v>
      </c>
      <c r="X163" s="95">
        <v>1</v>
      </c>
      <c r="Y163" s="93">
        <v>3</v>
      </c>
      <c r="Z163" s="93">
        <v>3</v>
      </c>
    </row>
    <row r="164" spans="1:26" ht="15" customHeight="1" x14ac:dyDescent="0.25">
      <c r="A164" s="121"/>
      <c r="B164" s="91"/>
      <c r="C164" s="91"/>
      <c r="D164" s="94" t="s">
        <v>785</v>
      </c>
      <c r="E164" s="92">
        <v>1</v>
      </c>
      <c r="F164" s="92">
        <v>1</v>
      </c>
      <c r="G164" s="92">
        <v>2</v>
      </c>
      <c r="H164" s="92">
        <v>3</v>
      </c>
      <c r="I164" s="92">
        <v>3</v>
      </c>
      <c r="J164" s="92"/>
      <c r="K164" s="92"/>
      <c r="L164" s="92"/>
      <c r="M164" s="92">
        <v>1</v>
      </c>
      <c r="N164" s="92">
        <v>1</v>
      </c>
      <c r="O164" s="93">
        <v>3</v>
      </c>
      <c r="P164" s="93">
        <v>3</v>
      </c>
      <c r="Q164" s="93">
        <v>3</v>
      </c>
      <c r="R164" s="93">
        <v>3</v>
      </c>
      <c r="S164" s="93">
        <v>1</v>
      </c>
      <c r="T164" s="93">
        <v>1</v>
      </c>
      <c r="U164" s="93">
        <v>1</v>
      </c>
      <c r="V164" s="93">
        <v>1</v>
      </c>
      <c r="W164" s="95">
        <v>1</v>
      </c>
      <c r="X164" s="95">
        <v>1</v>
      </c>
      <c r="Y164" s="93">
        <v>3</v>
      </c>
      <c r="Z164" s="93">
        <v>3</v>
      </c>
    </row>
    <row r="165" spans="1:26" ht="15" customHeight="1" x14ac:dyDescent="0.25">
      <c r="A165" s="121"/>
      <c r="B165" s="91"/>
      <c r="C165" s="91"/>
      <c r="D165" s="94" t="s">
        <v>786</v>
      </c>
      <c r="E165" s="92">
        <v>1</v>
      </c>
      <c r="F165" s="92">
        <v>1</v>
      </c>
      <c r="G165" s="92">
        <v>2</v>
      </c>
      <c r="H165" s="92">
        <v>3</v>
      </c>
      <c r="I165" s="92">
        <v>3</v>
      </c>
      <c r="J165" s="92"/>
      <c r="K165" s="92"/>
      <c r="L165" s="92"/>
      <c r="M165" s="92">
        <v>1</v>
      </c>
      <c r="N165" s="92">
        <v>1</v>
      </c>
      <c r="O165" s="93">
        <v>3</v>
      </c>
      <c r="P165" s="93">
        <v>3</v>
      </c>
      <c r="Q165" s="93">
        <v>3</v>
      </c>
      <c r="R165" s="93">
        <v>3</v>
      </c>
      <c r="S165" s="93">
        <v>1</v>
      </c>
      <c r="T165" s="93">
        <v>1</v>
      </c>
      <c r="U165" s="93">
        <v>1</v>
      </c>
      <c r="V165" s="93">
        <v>1</v>
      </c>
      <c r="W165" s="95">
        <v>1</v>
      </c>
      <c r="X165" s="95">
        <v>1</v>
      </c>
      <c r="Y165" s="93">
        <v>3</v>
      </c>
      <c r="Z165" s="93">
        <v>3</v>
      </c>
    </row>
    <row r="166" spans="1:26" ht="15" customHeight="1" x14ac:dyDescent="0.25">
      <c r="A166" s="121"/>
      <c r="B166" s="91"/>
      <c r="C166" s="91"/>
      <c r="D166" s="94" t="s">
        <v>787</v>
      </c>
      <c r="E166" s="92">
        <v>1</v>
      </c>
      <c r="F166" s="92">
        <v>1</v>
      </c>
      <c r="G166" s="92">
        <v>2</v>
      </c>
      <c r="H166" s="92">
        <v>3</v>
      </c>
      <c r="I166" s="92">
        <v>3</v>
      </c>
      <c r="J166" s="92"/>
      <c r="K166" s="92"/>
      <c r="L166" s="92"/>
      <c r="M166" s="92">
        <v>1</v>
      </c>
      <c r="N166" s="92">
        <v>1</v>
      </c>
      <c r="O166" s="93">
        <v>3</v>
      </c>
      <c r="P166" s="93">
        <v>3</v>
      </c>
      <c r="Q166" s="93">
        <v>3</v>
      </c>
      <c r="R166" s="93">
        <v>3</v>
      </c>
      <c r="S166" s="93">
        <v>1</v>
      </c>
      <c r="T166" s="93">
        <v>1</v>
      </c>
      <c r="U166" s="93">
        <v>1</v>
      </c>
      <c r="V166" s="93">
        <v>1</v>
      </c>
      <c r="W166" s="95">
        <v>1</v>
      </c>
      <c r="X166" s="95">
        <v>1</v>
      </c>
      <c r="Y166" s="93">
        <v>3</v>
      </c>
      <c r="Z166" s="93">
        <v>3</v>
      </c>
    </row>
    <row r="167" spans="1:26" ht="15" customHeight="1" x14ac:dyDescent="0.25">
      <c r="A167" s="121"/>
      <c r="B167" s="91"/>
      <c r="C167" s="91"/>
      <c r="D167" s="94" t="s">
        <v>788</v>
      </c>
      <c r="E167" s="92">
        <v>1</v>
      </c>
      <c r="F167" s="92">
        <v>1</v>
      </c>
      <c r="G167" s="92">
        <v>2</v>
      </c>
      <c r="H167" s="92">
        <v>3</v>
      </c>
      <c r="I167" s="92">
        <v>3</v>
      </c>
      <c r="J167" s="92"/>
      <c r="K167" s="92"/>
      <c r="L167" s="92"/>
      <c r="M167" s="92">
        <v>1</v>
      </c>
      <c r="N167" s="92">
        <v>1</v>
      </c>
      <c r="O167" s="93">
        <v>3</v>
      </c>
      <c r="P167" s="93">
        <v>3</v>
      </c>
      <c r="Q167" s="93">
        <v>3</v>
      </c>
      <c r="R167" s="93">
        <v>3</v>
      </c>
      <c r="S167" s="93">
        <v>1</v>
      </c>
      <c r="T167" s="93">
        <v>1</v>
      </c>
      <c r="U167" s="93">
        <v>1</v>
      </c>
      <c r="V167" s="93">
        <v>1</v>
      </c>
      <c r="W167" s="95">
        <v>1</v>
      </c>
      <c r="X167" s="95">
        <v>1</v>
      </c>
      <c r="Y167" s="93">
        <v>3</v>
      </c>
      <c r="Z167" s="93">
        <v>3</v>
      </c>
    </row>
    <row r="168" spans="1:26" ht="15" customHeight="1" x14ac:dyDescent="0.25">
      <c r="A168" s="121"/>
      <c r="B168" s="91"/>
      <c r="C168" s="91"/>
      <c r="D168" s="94" t="s">
        <v>789</v>
      </c>
      <c r="E168" s="92">
        <v>1</v>
      </c>
      <c r="F168" s="92">
        <v>1</v>
      </c>
      <c r="G168" s="92">
        <v>2</v>
      </c>
      <c r="H168" s="92">
        <v>3</v>
      </c>
      <c r="I168" s="92">
        <v>3</v>
      </c>
      <c r="J168" s="92"/>
      <c r="K168" s="92"/>
      <c r="L168" s="92"/>
      <c r="M168" s="92">
        <v>1</v>
      </c>
      <c r="N168" s="92">
        <v>1</v>
      </c>
      <c r="O168" s="93">
        <v>3</v>
      </c>
      <c r="P168" s="93">
        <v>3</v>
      </c>
      <c r="Q168" s="93">
        <v>3</v>
      </c>
      <c r="R168" s="93">
        <v>3</v>
      </c>
      <c r="S168" s="93">
        <v>1</v>
      </c>
      <c r="T168" s="93">
        <v>1</v>
      </c>
      <c r="U168" s="93">
        <v>1</v>
      </c>
      <c r="V168" s="93">
        <v>1</v>
      </c>
      <c r="W168" s="95">
        <v>1</v>
      </c>
      <c r="X168" s="95">
        <v>1</v>
      </c>
      <c r="Y168" s="93">
        <v>3</v>
      </c>
      <c r="Z168" s="93">
        <v>3</v>
      </c>
    </row>
    <row r="169" spans="1:26" ht="15" customHeight="1" x14ac:dyDescent="0.25">
      <c r="A169" s="121"/>
      <c r="B169" s="91"/>
      <c r="C169" s="91"/>
      <c r="D169" s="94" t="s">
        <v>90</v>
      </c>
      <c r="E169" s="92">
        <v>1</v>
      </c>
      <c r="F169" s="92">
        <v>1</v>
      </c>
      <c r="G169" s="92">
        <v>2</v>
      </c>
      <c r="H169" s="92">
        <v>3</v>
      </c>
      <c r="I169" s="92">
        <v>3</v>
      </c>
      <c r="J169" s="92"/>
      <c r="K169" s="92"/>
      <c r="L169" s="92"/>
      <c r="M169" s="92">
        <v>1</v>
      </c>
      <c r="N169" s="92">
        <v>1</v>
      </c>
      <c r="O169" s="93">
        <v>3</v>
      </c>
      <c r="P169" s="93">
        <v>3</v>
      </c>
      <c r="Q169" s="93">
        <v>3</v>
      </c>
      <c r="R169" s="93">
        <v>3</v>
      </c>
      <c r="S169" s="93">
        <v>1</v>
      </c>
      <c r="T169" s="93">
        <v>1</v>
      </c>
      <c r="U169" s="93">
        <v>1</v>
      </c>
      <c r="V169" s="93">
        <v>1</v>
      </c>
      <c r="W169" s="95">
        <v>1</v>
      </c>
      <c r="X169" s="95">
        <v>1</v>
      </c>
      <c r="Y169" s="93">
        <v>3</v>
      </c>
      <c r="Z169" s="93">
        <v>3</v>
      </c>
    </row>
    <row r="170" spans="1:26" ht="15" customHeight="1" x14ac:dyDescent="0.25">
      <c r="A170" s="121"/>
      <c r="B170" s="91"/>
      <c r="C170" s="91"/>
      <c r="D170" s="94" t="s">
        <v>91</v>
      </c>
      <c r="E170" s="92">
        <v>1</v>
      </c>
      <c r="F170" s="92">
        <v>1</v>
      </c>
      <c r="G170" s="92">
        <v>2</v>
      </c>
      <c r="H170" s="92">
        <v>3</v>
      </c>
      <c r="I170" s="92">
        <v>3</v>
      </c>
      <c r="J170" s="92"/>
      <c r="K170" s="92"/>
      <c r="L170" s="92"/>
      <c r="M170" s="92">
        <v>1</v>
      </c>
      <c r="N170" s="92">
        <v>1</v>
      </c>
      <c r="O170" s="93">
        <v>3</v>
      </c>
      <c r="P170" s="93">
        <v>3</v>
      </c>
      <c r="Q170" s="93">
        <v>3</v>
      </c>
      <c r="R170" s="93">
        <v>3</v>
      </c>
      <c r="S170" s="93">
        <v>1</v>
      </c>
      <c r="T170" s="93">
        <v>1</v>
      </c>
      <c r="U170" s="93">
        <v>1</v>
      </c>
      <c r="V170" s="93">
        <v>1</v>
      </c>
      <c r="W170" s="93">
        <v>1</v>
      </c>
      <c r="X170" s="93">
        <v>1</v>
      </c>
      <c r="Y170" s="93">
        <v>3</v>
      </c>
      <c r="Z170" s="93">
        <v>3</v>
      </c>
    </row>
    <row r="171" spans="1:26" ht="15" customHeight="1" x14ac:dyDescent="0.25">
      <c r="A171" s="121"/>
      <c r="B171" s="91"/>
      <c r="C171" s="91"/>
      <c r="D171" s="94" t="s">
        <v>92</v>
      </c>
      <c r="E171" s="92">
        <v>1</v>
      </c>
      <c r="F171" s="92">
        <v>1</v>
      </c>
      <c r="G171" s="92">
        <v>2</v>
      </c>
      <c r="H171" s="92">
        <v>3</v>
      </c>
      <c r="I171" s="92">
        <v>3</v>
      </c>
      <c r="J171" s="92"/>
      <c r="K171" s="92"/>
      <c r="L171" s="92"/>
      <c r="M171" s="92">
        <v>1</v>
      </c>
      <c r="N171" s="92">
        <v>1</v>
      </c>
      <c r="O171" s="93">
        <v>3</v>
      </c>
      <c r="P171" s="93">
        <v>3</v>
      </c>
      <c r="Q171" s="93">
        <v>3</v>
      </c>
      <c r="R171" s="93">
        <v>3</v>
      </c>
      <c r="S171" s="93">
        <v>1</v>
      </c>
      <c r="T171" s="93">
        <v>1</v>
      </c>
      <c r="U171" s="93">
        <v>1</v>
      </c>
      <c r="V171" s="93">
        <v>1</v>
      </c>
      <c r="W171" s="95">
        <v>1</v>
      </c>
      <c r="X171" s="95">
        <v>1</v>
      </c>
      <c r="Y171" s="93">
        <v>3</v>
      </c>
      <c r="Z171" s="93">
        <v>3</v>
      </c>
    </row>
    <row r="172" spans="1:26" ht="15" customHeight="1" x14ac:dyDescent="0.25">
      <c r="A172" s="121"/>
      <c r="B172" s="91" t="s">
        <v>736</v>
      </c>
      <c r="C172" s="91"/>
      <c r="D172" s="94"/>
      <c r="E172" s="92"/>
      <c r="F172" s="92"/>
      <c r="G172" s="92"/>
      <c r="H172" s="92"/>
      <c r="I172" s="92"/>
      <c r="J172" s="92"/>
      <c r="K172" s="92"/>
      <c r="L172" s="92"/>
      <c r="M172" s="92"/>
      <c r="N172" s="92"/>
      <c r="O172" s="93"/>
      <c r="P172" s="93"/>
      <c r="Q172" s="93"/>
      <c r="R172" s="93"/>
      <c r="S172" s="93"/>
      <c r="T172" s="93"/>
      <c r="U172" s="93"/>
      <c r="V172" s="93"/>
      <c r="W172" s="95"/>
      <c r="X172" s="95"/>
      <c r="Y172" s="93"/>
      <c r="Z172" s="93"/>
    </row>
    <row r="173" spans="1:26" ht="15" customHeight="1" x14ac:dyDescent="0.25">
      <c r="A173" s="121"/>
      <c r="B173" s="91"/>
      <c r="C173" s="91" t="s">
        <v>737</v>
      </c>
      <c r="D173" s="94" t="s">
        <v>738</v>
      </c>
      <c r="E173" s="92">
        <v>1</v>
      </c>
      <c r="F173" s="92">
        <v>2</v>
      </c>
      <c r="G173" s="92">
        <v>2</v>
      </c>
      <c r="H173" s="92">
        <v>3</v>
      </c>
      <c r="I173" s="92">
        <v>3</v>
      </c>
      <c r="J173" s="92">
        <v>1</v>
      </c>
      <c r="K173" s="92">
        <v>2</v>
      </c>
      <c r="L173" s="92">
        <v>2</v>
      </c>
      <c r="M173" s="92">
        <v>3</v>
      </c>
      <c r="N173" s="92">
        <v>3</v>
      </c>
      <c r="O173" s="93">
        <v>3</v>
      </c>
      <c r="P173" s="93">
        <v>3</v>
      </c>
      <c r="Q173" s="93">
        <v>3</v>
      </c>
      <c r="R173" s="93">
        <v>3</v>
      </c>
      <c r="S173" s="93">
        <v>2</v>
      </c>
      <c r="T173" s="93">
        <v>2</v>
      </c>
      <c r="U173" s="93">
        <v>2</v>
      </c>
      <c r="V173" s="93">
        <v>2</v>
      </c>
      <c r="W173" s="95">
        <v>2</v>
      </c>
      <c r="X173" s="95">
        <v>2</v>
      </c>
      <c r="Y173" s="93">
        <v>3</v>
      </c>
      <c r="Z173" s="93">
        <v>3</v>
      </c>
    </row>
    <row r="174" spans="1:26" ht="15" customHeight="1" x14ac:dyDescent="0.25">
      <c r="A174" s="121"/>
      <c r="B174" s="91"/>
      <c r="C174" s="91"/>
      <c r="D174" s="94" t="s">
        <v>739</v>
      </c>
      <c r="E174" s="92">
        <v>1</v>
      </c>
      <c r="F174" s="92">
        <v>1</v>
      </c>
      <c r="G174" s="92">
        <v>2</v>
      </c>
      <c r="H174" s="92">
        <v>3</v>
      </c>
      <c r="I174" s="92">
        <v>3</v>
      </c>
      <c r="J174" s="92">
        <v>1</v>
      </c>
      <c r="K174" s="92">
        <v>2</v>
      </c>
      <c r="L174" s="92">
        <v>2</v>
      </c>
      <c r="M174" s="92">
        <v>3</v>
      </c>
      <c r="N174" s="92">
        <v>3</v>
      </c>
      <c r="O174" s="93">
        <v>3</v>
      </c>
      <c r="P174" s="93">
        <v>3</v>
      </c>
      <c r="Q174" s="93">
        <v>3</v>
      </c>
      <c r="R174" s="93">
        <v>3</v>
      </c>
      <c r="S174" s="93">
        <v>1</v>
      </c>
      <c r="T174" s="93">
        <v>1</v>
      </c>
      <c r="U174" s="93">
        <v>1</v>
      </c>
      <c r="V174" s="93">
        <v>1</v>
      </c>
      <c r="W174" s="95">
        <v>1</v>
      </c>
      <c r="X174" s="95">
        <v>1</v>
      </c>
      <c r="Y174" s="93">
        <v>3</v>
      </c>
      <c r="Z174" s="93">
        <v>3</v>
      </c>
    </row>
    <row r="175" spans="1:26" ht="15" customHeight="1" x14ac:dyDescent="0.25">
      <c r="A175" s="121"/>
      <c r="B175" s="91"/>
      <c r="C175" s="91"/>
      <c r="D175" s="94" t="s">
        <v>740</v>
      </c>
      <c r="E175" s="92">
        <v>1</v>
      </c>
      <c r="F175" s="92">
        <v>1</v>
      </c>
      <c r="G175" s="92">
        <v>2</v>
      </c>
      <c r="H175" s="92">
        <v>3</v>
      </c>
      <c r="I175" s="92">
        <v>3</v>
      </c>
      <c r="J175" s="92">
        <v>1</v>
      </c>
      <c r="K175" s="92">
        <v>2</v>
      </c>
      <c r="L175" s="92">
        <v>2</v>
      </c>
      <c r="M175" s="92">
        <v>3</v>
      </c>
      <c r="N175" s="92">
        <v>3</v>
      </c>
      <c r="O175" s="93">
        <v>3</v>
      </c>
      <c r="P175" s="93">
        <v>3</v>
      </c>
      <c r="Q175" s="93">
        <v>3</v>
      </c>
      <c r="R175" s="93">
        <v>3</v>
      </c>
      <c r="S175" s="93">
        <v>1</v>
      </c>
      <c r="T175" s="93">
        <v>1</v>
      </c>
      <c r="U175" s="93">
        <v>1</v>
      </c>
      <c r="V175" s="93">
        <v>1</v>
      </c>
      <c r="W175" s="95">
        <v>1</v>
      </c>
      <c r="X175" s="95">
        <v>1</v>
      </c>
      <c r="Y175" s="93">
        <v>3</v>
      </c>
      <c r="Z175" s="93">
        <v>3</v>
      </c>
    </row>
    <row r="176" spans="1:26" ht="15" customHeight="1" x14ac:dyDescent="0.25">
      <c r="A176" s="121"/>
      <c r="B176" s="91"/>
      <c r="C176" s="91" t="s">
        <v>741</v>
      </c>
      <c r="D176" s="94" t="s">
        <v>742</v>
      </c>
      <c r="E176" s="92">
        <v>1</v>
      </c>
      <c r="F176" s="92">
        <v>1</v>
      </c>
      <c r="G176" s="92">
        <v>2</v>
      </c>
      <c r="H176" s="92">
        <v>3</v>
      </c>
      <c r="I176" s="92">
        <v>3</v>
      </c>
      <c r="J176" s="92"/>
      <c r="K176" s="92"/>
      <c r="L176" s="92"/>
      <c r="M176" s="92">
        <v>1</v>
      </c>
      <c r="N176" s="92">
        <v>1</v>
      </c>
      <c r="O176" s="93">
        <v>3</v>
      </c>
      <c r="P176" s="93">
        <v>3</v>
      </c>
      <c r="Q176" s="93">
        <v>3</v>
      </c>
      <c r="R176" s="93">
        <v>3</v>
      </c>
      <c r="S176" s="93">
        <v>1</v>
      </c>
      <c r="T176" s="93">
        <v>1</v>
      </c>
      <c r="U176" s="93">
        <v>1</v>
      </c>
      <c r="V176" s="93">
        <v>1</v>
      </c>
      <c r="W176" s="95">
        <v>1</v>
      </c>
      <c r="X176" s="95">
        <v>1</v>
      </c>
      <c r="Y176" s="93">
        <v>3</v>
      </c>
      <c r="Z176" s="93">
        <v>3</v>
      </c>
    </row>
    <row r="177" spans="1:26" ht="15" customHeight="1" x14ac:dyDescent="0.25">
      <c r="A177" s="121"/>
      <c r="B177" s="91"/>
      <c r="C177" s="91" t="s">
        <v>743</v>
      </c>
      <c r="D177" s="94" t="s">
        <v>744</v>
      </c>
      <c r="E177" s="92">
        <v>1</v>
      </c>
      <c r="F177" s="92">
        <v>1</v>
      </c>
      <c r="G177" s="92">
        <v>2</v>
      </c>
      <c r="H177" s="92">
        <v>3</v>
      </c>
      <c r="I177" s="92">
        <v>3</v>
      </c>
      <c r="J177" s="92"/>
      <c r="K177" s="92"/>
      <c r="L177" s="92"/>
      <c r="M177" s="92">
        <v>1</v>
      </c>
      <c r="N177" s="92">
        <v>1</v>
      </c>
      <c r="O177" s="93">
        <v>3</v>
      </c>
      <c r="P177" s="93">
        <v>3</v>
      </c>
      <c r="Q177" s="93">
        <v>3</v>
      </c>
      <c r="R177" s="93">
        <v>3</v>
      </c>
      <c r="S177" s="93">
        <v>1</v>
      </c>
      <c r="T177" s="93">
        <v>1</v>
      </c>
      <c r="U177" s="93">
        <v>1</v>
      </c>
      <c r="V177" s="93">
        <v>1</v>
      </c>
      <c r="W177" s="93">
        <v>1</v>
      </c>
      <c r="X177" s="93">
        <v>1</v>
      </c>
      <c r="Y177" s="93">
        <v>3</v>
      </c>
      <c r="Z177" s="93">
        <v>3</v>
      </c>
    </row>
    <row r="178" spans="1:26" ht="15" customHeight="1" x14ac:dyDescent="0.25">
      <c r="A178" s="121"/>
      <c r="B178" s="91"/>
      <c r="C178" s="91"/>
      <c r="D178" s="94" t="s">
        <v>745</v>
      </c>
      <c r="E178" s="92">
        <v>1</v>
      </c>
      <c r="F178" s="92">
        <v>1</v>
      </c>
      <c r="G178" s="92">
        <v>2</v>
      </c>
      <c r="H178" s="92">
        <v>3</v>
      </c>
      <c r="I178" s="92">
        <v>3</v>
      </c>
      <c r="J178" s="92"/>
      <c r="K178" s="92"/>
      <c r="L178" s="92"/>
      <c r="M178" s="92">
        <v>1</v>
      </c>
      <c r="N178" s="92">
        <v>1</v>
      </c>
      <c r="O178" s="93">
        <v>3</v>
      </c>
      <c r="P178" s="93">
        <v>3</v>
      </c>
      <c r="Q178" s="93">
        <v>3</v>
      </c>
      <c r="R178" s="93">
        <v>3</v>
      </c>
      <c r="S178" s="93">
        <v>1</v>
      </c>
      <c r="T178" s="93">
        <v>1</v>
      </c>
      <c r="U178" s="93">
        <v>1</v>
      </c>
      <c r="V178" s="93">
        <v>1</v>
      </c>
      <c r="W178" s="95">
        <v>1</v>
      </c>
      <c r="X178" s="95">
        <v>1</v>
      </c>
      <c r="Y178" s="93">
        <v>3</v>
      </c>
      <c r="Z178" s="93">
        <v>3</v>
      </c>
    </row>
    <row r="179" spans="1:26" ht="15" customHeight="1" x14ac:dyDescent="0.25">
      <c r="A179" s="121"/>
      <c r="B179" s="91"/>
      <c r="C179" s="91" t="s">
        <v>746</v>
      </c>
      <c r="D179" s="94" t="s">
        <v>747</v>
      </c>
      <c r="E179" s="92">
        <v>1</v>
      </c>
      <c r="F179" s="92">
        <v>1</v>
      </c>
      <c r="G179" s="92">
        <v>2</v>
      </c>
      <c r="H179" s="92">
        <v>3</v>
      </c>
      <c r="I179" s="92">
        <v>3</v>
      </c>
      <c r="J179" s="92"/>
      <c r="K179" s="92"/>
      <c r="L179" s="92"/>
      <c r="M179" s="92">
        <v>1</v>
      </c>
      <c r="N179" s="92">
        <v>1</v>
      </c>
      <c r="O179" s="93">
        <v>3</v>
      </c>
      <c r="P179" s="93">
        <v>3</v>
      </c>
      <c r="Q179" s="93">
        <v>3</v>
      </c>
      <c r="R179" s="93">
        <v>3</v>
      </c>
      <c r="S179" s="93">
        <v>1</v>
      </c>
      <c r="T179" s="93">
        <v>1</v>
      </c>
      <c r="U179" s="93">
        <v>1</v>
      </c>
      <c r="V179" s="93">
        <v>1</v>
      </c>
      <c r="W179" s="95">
        <v>1</v>
      </c>
      <c r="X179" s="95">
        <v>1</v>
      </c>
      <c r="Y179" s="93">
        <v>3</v>
      </c>
      <c r="Z179" s="93">
        <v>3</v>
      </c>
    </row>
    <row r="180" spans="1:26" ht="15" customHeight="1" x14ac:dyDescent="0.25">
      <c r="A180" s="121"/>
      <c r="B180" s="91"/>
      <c r="C180" s="91"/>
      <c r="D180" s="94" t="s">
        <v>748</v>
      </c>
      <c r="E180" s="92">
        <v>1</v>
      </c>
      <c r="F180" s="92">
        <v>1</v>
      </c>
      <c r="G180" s="92">
        <v>2</v>
      </c>
      <c r="H180" s="92">
        <v>3</v>
      </c>
      <c r="I180" s="92">
        <v>3</v>
      </c>
      <c r="J180" s="92"/>
      <c r="K180" s="92"/>
      <c r="L180" s="92"/>
      <c r="M180" s="92">
        <v>1</v>
      </c>
      <c r="N180" s="92">
        <v>1</v>
      </c>
      <c r="O180" s="93">
        <v>3</v>
      </c>
      <c r="P180" s="93">
        <v>3</v>
      </c>
      <c r="Q180" s="93">
        <v>3</v>
      </c>
      <c r="R180" s="93">
        <v>3</v>
      </c>
      <c r="S180" s="93">
        <v>1</v>
      </c>
      <c r="T180" s="93">
        <v>1</v>
      </c>
      <c r="U180" s="93">
        <v>1</v>
      </c>
      <c r="V180" s="93">
        <v>1</v>
      </c>
      <c r="W180" s="95">
        <v>1</v>
      </c>
      <c r="X180" s="95">
        <v>1</v>
      </c>
      <c r="Y180" s="93">
        <v>3</v>
      </c>
      <c r="Z180" s="93">
        <v>3</v>
      </c>
    </row>
    <row r="181" spans="1:26" ht="15" customHeight="1" x14ac:dyDescent="0.25">
      <c r="A181" s="121"/>
      <c r="B181" s="91"/>
      <c r="C181" s="91" t="s">
        <v>749</v>
      </c>
      <c r="D181" s="94" t="s">
        <v>750</v>
      </c>
      <c r="E181" s="92">
        <v>1</v>
      </c>
      <c r="F181" s="92">
        <v>1</v>
      </c>
      <c r="G181" s="92">
        <v>2</v>
      </c>
      <c r="H181" s="92">
        <v>3</v>
      </c>
      <c r="I181" s="92">
        <v>3</v>
      </c>
      <c r="J181" s="92"/>
      <c r="K181" s="92"/>
      <c r="L181" s="92"/>
      <c r="M181" s="92">
        <v>1</v>
      </c>
      <c r="N181" s="92">
        <v>1</v>
      </c>
      <c r="O181" s="93">
        <v>3</v>
      </c>
      <c r="P181" s="93">
        <v>3</v>
      </c>
      <c r="Q181" s="93">
        <v>3</v>
      </c>
      <c r="R181" s="93">
        <v>3</v>
      </c>
      <c r="S181" s="93">
        <v>1</v>
      </c>
      <c r="T181" s="93">
        <v>1</v>
      </c>
      <c r="U181" s="93">
        <v>1</v>
      </c>
      <c r="V181" s="93">
        <v>1</v>
      </c>
      <c r="W181" s="95">
        <v>1</v>
      </c>
      <c r="X181" s="95">
        <v>1</v>
      </c>
      <c r="Y181" s="93">
        <v>3</v>
      </c>
      <c r="Z181" s="93">
        <v>3</v>
      </c>
    </row>
    <row r="182" spans="1:26" ht="15" customHeight="1" x14ac:dyDescent="0.25">
      <c r="A182" s="121"/>
      <c r="B182" s="91"/>
      <c r="C182" s="91"/>
      <c r="D182" s="91" t="s">
        <v>751</v>
      </c>
      <c r="E182" s="92">
        <v>1</v>
      </c>
      <c r="F182" s="92">
        <v>1</v>
      </c>
      <c r="G182" s="92">
        <v>2</v>
      </c>
      <c r="H182" s="92">
        <v>3</v>
      </c>
      <c r="I182" s="92">
        <v>3</v>
      </c>
      <c r="J182" s="92"/>
      <c r="K182" s="92"/>
      <c r="L182" s="92"/>
      <c r="M182" s="92">
        <v>1</v>
      </c>
      <c r="N182" s="92">
        <v>1</v>
      </c>
      <c r="O182" s="93">
        <v>3</v>
      </c>
      <c r="P182" s="93">
        <v>3</v>
      </c>
      <c r="Q182" s="93">
        <v>3</v>
      </c>
      <c r="R182" s="93">
        <v>3</v>
      </c>
      <c r="S182" s="93">
        <v>1</v>
      </c>
      <c r="T182" s="93">
        <v>1</v>
      </c>
      <c r="U182" s="93">
        <v>1</v>
      </c>
      <c r="V182" s="93">
        <v>1</v>
      </c>
      <c r="W182" s="93">
        <v>1</v>
      </c>
      <c r="X182" s="93">
        <v>1</v>
      </c>
      <c r="Y182" s="93">
        <v>3</v>
      </c>
      <c r="Z182" s="93">
        <v>3</v>
      </c>
    </row>
    <row r="183" spans="1:26" ht="15" customHeight="1" x14ac:dyDescent="0.25">
      <c r="A183" s="121"/>
      <c r="B183" s="91"/>
      <c r="C183" s="91"/>
      <c r="D183" s="91" t="s">
        <v>752</v>
      </c>
      <c r="E183" s="92">
        <v>1</v>
      </c>
      <c r="F183" s="92">
        <v>1</v>
      </c>
      <c r="G183" s="92">
        <v>2</v>
      </c>
      <c r="H183" s="92">
        <v>3</v>
      </c>
      <c r="I183" s="92">
        <v>3</v>
      </c>
      <c r="J183" s="92"/>
      <c r="K183" s="92"/>
      <c r="L183" s="92"/>
      <c r="M183" s="92">
        <v>1</v>
      </c>
      <c r="N183" s="92">
        <v>1</v>
      </c>
      <c r="O183" s="93">
        <v>3</v>
      </c>
      <c r="P183" s="93">
        <v>3</v>
      </c>
      <c r="Q183" s="93">
        <v>3</v>
      </c>
      <c r="R183" s="93">
        <v>3</v>
      </c>
      <c r="S183" s="93">
        <v>1</v>
      </c>
      <c r="T183" s="93">
        <v>1</v>
      </c>
      <c r="U183" s="93">
        <v>1</v>
      </c>
      <c r="V183" s="93">
        <v>1</v>
      </c>
      <c r="W183" s="97">
        <v>1</v>
      </c>
      <c r="X183" s="97">
        <v>1</v>
      </c>
      <c r="Y183" s="93">
        <v>3</v>
      </c>
      <c r="Z183" s="93">
        <v>3</v>
      </c>
    </row>
    <row r="184" spans="1:26" ht="15" customHeight="1" x14ac:dyDescent="0.25">
      <c r="A184" s="121"/>
      <c r="B184" s="91" t="s">
        <v>753</v>
      </c>
      <c r="C184" s="91"/>
      <c r="D184" s="91"/>
      <c r="E184" s="92"/>
      <c r="F184" s="92"/>
      <c r="G184" s="92"/>
      <c r="H184" s="92"/>
      <c r="I184" s="92"/>
      <c r="J184" s="92"/>
      <c r="K184" s="92"/>
      <c r="L184" s="92"/>
      <c r="M184" s="92"/>
      <c r="N184" s="92"/>
      <c r="O184" s="93"/>
      <c r="P184" s="93"/>
      <c r="Q184" s="93"/>
      <c r="R184" s="93"/>
      <c r="S184" s="93"/>
      <c r="T184" s="93"/>
      <c r="U184" s="93"/>
      <c r="V184" s="93"/>
      <c r="W184" s="97"/>
      <c r="X184" s="97"/>
      <c r="Y184" s="93"/>
      <c r="Z184" s="93"/>
    </row>
    <row r="185" spans="1:26" ht="15" customHeight="1" x14ac:dyDescent="0.25">
      <c r="A185" s="121"/>
      <c r="B185" s="91"/>
      <c r="C185" s="91" t="s">
        <v>753</v>
      </c>
      <c r="D185" s="94" t="s">
        <v>754</v>
      </c>
      <c r="E185" s="92">
        <v>1</v>
      </c>
      <c r="F185" s="92">
        <v>1</v>
      </c>
      <c r="G185" s="92">
        <v>2</v>
      </c>
      <c r="H185" s="92">
        <v>3</v>
      </c>
      <c r="I185" s="92">
        <v>3</v>
      </c>
      <c r="J185" s="92">
        <v>1</v>
      </c>
      <c r="K185" s="92">
        <v>2</v>
      </c>
      <c r="L185" s="92">
        <v>2</v>
      </c>
      <c r="M185" s="92">
        <v>3</v>
      </c>
      <c r="N185" s="92">
        <v>3</v>
      </c>
      <c r="O185" s="93">
        <v>3</v>
      </c>
      <c r="P185" s="93">
        <v>3</v>
      </c>
      <c r="Q185" s="93">
        <v>3</v>
      </c>
      <c r="R185" s="93">
        <v>3</v>
      </c>
      <c r="S185" s="93">
        <v>2</v>
      </c>
      <c r="T185" s="93">
        <v>2</v>
      </c>
      <c r="U185" s="93">
        <v>2</v>
      </c>
      <c r="V185" s="93">
        <v>2</v>
      </c>
      <c r="W185" s="97">
        <v>2</v>
      </c>
      <c r="X185" s="97">
        <v>2</v>
      </c>
      <c r="Y185" s="93">
        <v>3</v>
      </c>
      <c r="Z185" s="93">
        <v>3</v>
      </c>
    </row>
    <row r="186" spans="1:26" ht="15" customHeight="1" x14ac:dyDescent="0.25">
      <c r="A186" s="121"/>
      <c r="B186" s="91"/>
      <c r="C186" s="91"/>
      <c r="D186" s="94" t="s">
        <v>755</v>
      </c>
      <c r="E186" s="92">
        <v>1</v>
      </c>
      <c r="F186" s="92">
        <v>1</v>
      </c>
      <c r="G186" s="92">
        <v>2</v>
      </c>
      <c r="H186" s="92">
        <v>3</v>
      </c>
      <c r="I186" s="92">
        <v>3</v>
      </c>
      <c r="J186" s="92">
        <v>1</v>
      </c>
      <c r="K186" s="92">
        <v>2</v>
      </c>
      <c r="L186" s="92">
        <v>2</v>
      </c>
      <c r="M186" s="92">
        <v>3</v>
      </c>
      <c r="N186" s="92">
        <v>3</v>
      </c>
      <c r="O186" s="93">
        <v>3</v>
      </c>
      <c r="P186" s="93">
        <v>3</v>
      </c>
      <c r="Q186" s="93">
        <v>3</v>
      </c>
      <c r="R186" s="93">
        <v>3</v>
      </c>
      <c r="S186" s="93">
        <v>1</v>
      </c>
      <c r="T186" s="93">
        <v>1</v>
      </c>
      <c r="U186" s="93">
        <v>1</v>
      </c>
      <c r="V186" s="93">
        <v>1</v>
      </c>
      <c r="W186" s="97">
        <v>1</v>
      </c>
      <c r="X186" s="97">
        <v>1</v>
      </c>
      <c r="Y186" s="93">
        <v>3</v>
      </c>
      <c r="Z186" s="93">
        <v>3</v>
      </c>
    </row>
    <row r="187" spans="1:26" ht="15" customHeight="1" x14ac:dyDescent="0.25">
      <c r="A187" s="121"/>
      <c r="B187" s="91"/>
      <c r="C187" s="91"/>
      <c r="D187" s="94" t="s">
        <v>756</v>
      </c>
      <c r="E187" s="92">
        <v>1</v>
      </c>
      <c r="F187" s="92">
        <v>1</v>
      </c>
      <c r="G187" s="92">
        <v>2</v>
      </c>
      <c r="H187" s="92">
        <v>3</v>
      </c>
      <c r="I187" s="92">
        <v>3</v>
      </c>
      <c r="J187" s="92">
        <v>1</v>
      </c>
      <c r="K187" s="92">
        <v>2</v>
      </c>
      <c r="L187" s="92">
        <v>2</v>
      </c>
      <c r="M187" s="92">
        <v>3</v>
      </c>
      <c r="N187" s="92">
        <v>3</v>
      </c>
      <c r="O187" s="93">
        <v>3</v>
      </c>
      <c r="P187" s="93">
        <v>3</v>
      </c>
      <c r="Q187" s="93">
        <v>3</v>
      </c>
      <c r="R187" s="93">
        <v>3</v>
      </c>
      <c r="S187" s="93">
        <v>1</v>
      </c>
      <c r="T187" s="93">
        <v>1</v>
      </c>
      <c r="U187" s="93">
        <v>1</v>
      </c>
      <c r="V187" s="93">
        <v>1</v>
      </c>
      <c r="W187" s="97">
        <v>1</v>
      </c>
      <c r="X187" s="97">
        <v>1</v>
      </c>
      <c r="Y187" s="93">
        <v>3</v>
      </c>
      <c r="Z187" s="93">
        <v>3</v>
      </c>
    </row>
    <row r="188" spans="1:26" ht="15" customHeight="1" x14ac:dyDescent="0.25">
      <c r="A188" s="121"/>
      <c r="B188" s="91"/>
      <c r="C188" s="91"/>
      <c r="D188" s="94" t="s">
        <v>757</v>
      </c>
      <c r="E188" s="92">
        <v>1</v>
      </c>
      <c r="F188" s="92">
        <v>1</v>
      </c>
      <c r="G188" s="92">
        <v>2</v>
      </c>
      <c r="H188" s="92">
        <v>3</v>
      </c>
      <c r="I188" s="92">
        <v>3</v>
      </c>
      <c r="J188" s="92"/>
      <c r="K188" s="92"/>
      <c r="L188" s="92"/>
      <c r="M188" s="92">
        <v>1</v>
      </c>
      <c r="N188" s="92">
        <v>1</v>
      </c>
      <c r="O188" s="93">
        <v>3</v>
      </c>
      <c r="P188" s="93">
        <v>3</v>
      </c>
      <c r="Q188" s="93">
        <v>3</v>
      </c>
      <c r="R188" s="93">
        <v>3</v>
      </c>
      <c r="S188" s="93">
        <v>1</v>
      </c>
      <c r="T188" s="93">
        <v>1</v>
      </c>
      <c r="U188" s="93">
        <v>1</v>
      </c>
      <c r="V188" s="93">
        <v>1</v>
      </c>
      <c r="W188" s="93">
        <v>1</v>
      </c>
      <c r="X188" s="93">
        <v>1</v>
      </c>
      <c r="Y188" s="93">
        <v>3</v>
      </c>
      <c r="Z188" s="93">
        <v>3</v>
      </c>
    </row>
    <row r="189" spans="1:26" ht="15" customHeight="1" x14ac:dyDescent="0.25">
      <c r="A189" s="121"/>
      <c r="B189" s="91"/>
      <c r="C189" s="91"/>
      <c r="D189" s="94" t="s">
        <v>758</v>
      </c>
      <c r="E189" s="92">
        <v>1</v>
      </c>
      <c r="F189" s="92">
        <v>1</v>
      </c>
      <c r="G189" s="92">
        <v>2</v>
      </c>
      <c r="H189" s="92">
        <v>3</v>
      </c>
      <c r="I189" s="92">
        <v>3</v>
      </c>
      <c r="J189" s="92"/>
      <c r="K189" s="92"/>
      <c r="L189" s="92"/>
      <c r="M189" s="92">
        <v>1</v>
      </c>
      <c r="N189" s="92">
        <v>1</v>
      </c>
      <c r="O189" s="93">
        <v>3</v>
      </c>
      <c r="P189" s="93">
        <v>3</v>
      </c>
      <c r="Q189" s="93">
        <v>3</v>
      </c>
      <c r="R189" s="93">
        <v>3</v>
      </c>
      <c r="S189" s="93">
        <v>1</v>
      </c>
      <c r="T189" s="93">
        <v>1</v>
      </c>
      <c r="U189" s="93">
        <v>1</v>
      </c>
      <c r="V189" s="93">
        <v>1</v>
      </c>
      <c r="W189" s="97">
        <v>1</v>
      </c>
      <c r="X189" s="97">
        <v>1</v>
      </c>
      <c r="Y189" s="93">
        <v>3</v>
      </c>
      <c r="Z189" s="93">
        <v>3</v>
      </c>
    </row>
    <row r="190" spans="1:26" ht="15" customHeight="1" x14ac:dyDescent="0.25">
      <c r="A190" s="121"/>
      <c r="B190" s="91"/>
      <c r="C190" s="91"/>
      <c r="D190" s="91" t="s">
        <v>759</v>
      </c>
      <c r="E190" s="92">
        <v>1</v>
      </c>
      <c r="F190" s="92">
        <v>1</v>
      </c>
      <c r="G190" s="92">
        <v>2</v>
      </c>
      <c r="H190" s="92">
        <v>3</v>
      </c>
      <c r="I190" s="92">
        <v>3</v>
      </c>
      <c r="J190" s="92"/>
      <c r="K190" s="92"/>
      <c r="L190" s="92"/>
      <c r="M190" s="92">
        <v>1</v>
      </c>
      <c r="N190" s="92">
        <v>1</v>
      </c>
      <c r="O190" s="93">
        <v>3</v>
      </c>
      <c r="P190" s="93">
        <v>3</v>
      </c>
      <c r="Q190" s="93">
        <v>3</v>
      </c>
      <c r="R190" s="93">
        <v>3</v>
      </c>
      <c r="S190" s="93">
        <v>1</v>
      </c>
      <c r="T190" s="93">
        <v>1</v>
      </c>
      <c r="U190" s="93">
        <v>1</v>
      </c>
      <c r="V190" s="93">
        <v>1</v>
      </c>
      <c r="W190" s="97">
        <v>1</v>
      </c>
      <c r="X190" s="97">
        <v>1</v>
      </c>
      <c r="Y190" s="93">
        <v>3</v>
      </c>
      <c r="Z190" s="93">
        <v>3</v>
      </c>
    </row>
    <row r="191" spans="1:26" ht="15" customHeight="1" x14ac:dyDescent="0.25">
      <c r="A191" s="121"/>
      <c r="B191" s="91"/>
      <c r="C191" s="91"/>
      <c r="D191" s="94" t="s">
        <v>760</v>
      </c>
      <c r="E191" s="92">
        <v>1</v>
      </c>
      <c r="F191" s="92">
        <v>1</v>
      </c>
      <c r="G191" s="92">
        <v>2</v>
      </c>
      <c r="H191" s="92">
        <v>3</v>
      </c>
      <c r="I191" s="92">
        <v>3</v>
      </c>
      <c r="J191" s="92"/>
      <c r="K191" s="92"/>
      <c r="L191" s="92"/>
      <c r="M191" s="92">
        <v>1</v>
      </c>
      <c r="N191" s="92">
        <v>1</v>
      </c>
      <c r="O191" s="93">
        <v>3</v>
      </c>
      <c r="P191" s="93">
        <v>3</v>
      </c>
      <c r="Q191" s="93">
        <v>3</v>
      </c>
      <c r="R191" s="93">
        <v>3</v>
      </c>
      <c r="S191" s="93">
        <v>1</v>
      </c>
      <c r="T191" s="93">
        <v>1</v>
      </c>
      <c r="U191" s="93">
        <v>1</v>
      </c>
      <c r="V191" s="93">
        <v>1</v>
      </c>
      <c r="W191" s="97">
        <v>1</v>
      </c>
      <c r="X191" s="97">
        <v>1</v>
      </c>
      <c r="Y191" s="93">
        <v>3</v>
      </c>
      <c r="Z191" s="93">
        <v>3</v>
      </c>
    </row>
    <row r="192" spans="1:26" ht="15" customHeight="1" x14ac:dyDescent="0.25">
      <c r="A192" s="121"/>
      <c r="B192" s="91"/>
      <c r="C192" s="91"/>
      <c r="D192" s="91" t="s">
        <v>761</v>
      </c>
      <c r="E192" s="92">
        <v>1</v>
      </c>
      <c r="F192" s="92">
        <v>1</v>
      </c>
      <c r="G192" s="92">
        <v>2</v>
      </c>
      <c r="H192" s="92">
        <v>3</v>
      </c>
      <c r="I192" s="92">
        <v>3</v>
      </c>
      <c r="J192" s="92"/>
      <c r="K192" s="92"/>
      <c r="L192" s="92"/>
      <c r="M192" s="92">
        <v>1</v>
      </c>
      <c r="N192" s="92">
        <v>1</v>
      </c>
      <c r="O192" s="93">
        <v>3</v>
      </c>
      <c r="P192" s="93">
        <v>3</v>
      </c>
      <c r="Q192" s="93">
        <v>3</v>
      </c>
      <c r="R192" s="93">
        <v>3</v>
      </c>
      <c r="S192" s="93">
        <v>1</v>
      </c>
      <c r="T192" s="93">
        <v>1</v>
      </c>
      <c r="U192" s="93">
        <v>1</v>
      </c>
      <c r="V192" s="93">
        <v>1</v>
      </c>
      <c r="W192" s="97">
        <v>1</v>
      </c>
      <c r="X192" s="97">
        <v>1</v>
      </c>
      <c r="Y192" s="93">
        <v>3</v>
      </c>
      <c r="Z192" s="93">
        <v>3</v>
      </c>
    </row>
    <row r="193" spans="1:26" ht="15" customHeight="1" x14ac:dyDescent="0.25">
      <c r="A193" s="121"/>
      <c r="B193" s="91"/>
      <c r="C193" s="91"/>
      <c r="D193" s="94" t="s">
        <v>762</v>
      </c>
      <c r="E193" s="92">
        <v>1</v>
      </c>
      <c r="F193" s="92">
        <v>1</v>
      </c>
      <c r="G193" s="92">
        <v>2</v>
      </c>
      <c r="H193" s="92">
        <v>3</v>
      </c>
      <c r="I193" s="92">
        <v>3</v>
      </c>
      <c r="J193" s="92"/>
      <c r="K193" s="92"/>
      <c r="L193" s="92"/>
      <c r="M193" s="92">
        <v>1</v>
      </c>
      <c r="N193" s="92">
        <v>1</v>
      </c>
      <c r="O193" s="93">
        <v>3</v>
      </c>
      <c r="P193" s="93">
        <v>3</v>
      </c>
      <c r="Q193" s="93">
        <v>3</v>
      </c>
      <c r="R193" s="93">
        <v>3</v>
      </c>
      <c r="S193" s="93">
        <v>1</v>
      </c>
      <c r="T193" s="93">
        <v>1</v>
      </c>
      <c r="U193" s="93">
        <v>1</v>
      </c>
      <c r="V193" s="93">
        <v>1</v>
      </c>
      <c r="W193" s="97">
        <v>1</v>
      </c>
      <c r="X193" s="97">
        <v>1</v>
      </c>
      <c r="Y193" s="93">
        <v>3</v>
      </c>
      <c r="Z193" s="93">
        <v>3</v>
      </c>
    </row>
    <row r="194" spans="1:26" ht="15" customHeight="1" x14ac:dyDescent="0.25">
      <c r="A194" s="121"/>
      <c r="B194" s="91" t="s">
        <v>763</v>
      </c>
      <c r="C194" s="91"/>
      <c r="D194" s="94"/>
      <c r="E194" s="92"/>
      <c r="F194" s="92"/>
      <c r="G194" s="92"/>
      <c r="H194" s="92"/>
      <c r="I194" s="92"/>
      <c r="J194" s="92"/>
      <c r="K194" s="92"/>
      <c r="L194" s="92"/>
      <c r="M194" s="92"/>
      <c r="N194" s="92"/>
      <c r="O194" s="93"/>
      <c r="P194" s="93"/>
      <c r="Q194" s="93"/>
      <c r="R194" s="93"/>
      <c r="S194" s="93"/>
      <c r="T194" s="93"/>
      <c r="U194" s="93"/>
      <c r="V194" s="93"/>
      <c r="W194" s="97"/>
      <c r="X194" s="97"/>
      <c r="Y194" s="93"/>
      <c r="Z194" s="93"/>
    </row>
    <row r="195" spans="1:26" ht="15" customHeight="1" x14ac:dyDescent="0.25">
      <c r="A195" s="121"/>
      <c r="B195" s="91"/>
      <c r="C195" s="91" t="s">
        <v>763</v>
      </c>
      <c r="D195" s="94" t="s">
        <v>764</v>
      </c>
      <c r="E195" s="92">
        <v>1</v>
      </c>
      <c r="F195" s="92">
        <v>1</v>
      </c>
      <c r="G195" s="92">
        <v>2</v>
      </c>
      <c r="H195" s="92">
        <v>3</v>
      </c>
      <c r="I195" s="92">
        <v>3</v>
      </c>
      <c r="J195" s="92">
        <v>1</v>
      </c>
      <c r="K195" s="92">
        <v>2</v>
      </c>
      <c r="L195" s="92">
        <v>2</v>
      </c>
      <c r="M195" s="92">
        <v>3</v>
      </c>
      <c r="N195" s="92">
        <v>3</v>
      </c>
      <c r="O195" s="93">
        <v>3</v>
      </c>
      <c r="P195" s="93">
        <v>3</v>
      </c>
      <c r="Q195" s="93">
        <v>3</v>
      </c>
      <c r="R195" s="93">
        <v>3</v>
      </c>
      <c r="S195" s="93">
        <v>2</v>
      </c>
      <c r="T195" s="93">
        <v>2</v>
      </c>
      <c r="U195" s="93">
        <v>2</v>
      </c>
      <c r="V195" s="93">
        <v>2</v>
      </c>
      <c r="W195" s="97">
        <v>2</v>
      </c>
      <c r="X195" s="97">
        <v>2</v>
      </c>
      <c r="Y195" s="93">
        <v>3</v>
      </c>
      <c r="Z195" s="93">
        <v>3</v>
      </c>
    </row>
    <row r="196" spans="1:26" ht="15" customHeight="1" x14ac:dyDescent="0.25">
      <c r="A196" s="121"/>
      <c r="B196" s="91"/>
      <c r="C196" s="91"/>
      <c r="D196" s="94" t="s">
        <v>765</v>
      </c>
      <c r="E196" s="92">
        <v>1</v>
      </c>
      <c r="F196" s="92">
        <v>1</v>
      </c>
      <c r="G196" s="92">
        <v>2</v>
      </c>
      <c r="H196" s="92">
        <v>3</v>
      </c>
      <c r="I196" s="92">
        <v>3</v>
      </c>
      <c r="J196" s="92">
        <v>1</v>
      </c>
      <c r="K196" s="92">
        <v>2</v>
      </c>
      <c r="L196" s="92">
        <v>2</v>
      </c>
      <c r="M196" s="92">
        <v>3</v>
      </c>
      <c r="N196" s="92">
        <v>3</v>
      </c>
      <c r="O196" s="93">
        <v>3</v>
      </c>
      <c r="P196" s="93">
        <v>3</v>
      </c>
      <c r="Q196" s="93">
        <v>3</v>
      </c>
      <c r="R196" s="93">
        <v>3</v>
      </c>
      <c r="S196" s="93">
        <v>1</v>
      </c>
      <c r="T196" s="93">
        <v>1</v>
      </c>
      <c r="U196" s="93">
        <v>1</v>
      </c>
      <c r="V196" s="93">
        <v>1</v>
      </c>
      <c r="W196" s="97">
        <v>1</v>
      </c>
      <c r="X196" s="97">
        <v>1</v>
      </c>
      <c r="Y196" s="93">
        <v>3</v>
      </c>
      <c r="Z196" s="93">
        <v>3</v>
      </c>
    </row>
    <row r="197" spans="1:26" ht="15" customHeight="1" x14ac:dyDescent="0.25">
      <c r="A197" s="121"/>
      <c r="B197" s="91"/>
      <c r="C197" s="91"/>
      <c r="D197" s="91" t="s">
        <v>766</v>
      </c>
      <c r="E197" s="92">
        <v>1</v>
      </c>
      <c r="F197" s="92">
        <v>1</v>
      </c>
      <c r="G197" s="92">
        <v>2</v>
      </c>
      <c r="H197" s="92">
        <v>3</v>
      </c>
      <c r="I197" s="92">
        <v>3</v>
      </c>
      <c r="J197" s="92">
        <v>1</v>
      </c>
      <c r="K197" s="92">
        <v>2</v>
      </c>
      <c r="L197" s="92">
        <v>2</v>
      </c>
      <c r="M197" s="92">
        <v>3</v>
      </c>
      <c r="N197" s="92">
        <v>3</v>
      </c>
      <c r="O197" s="93">
        <v>3</v>
      </c>
      <c r="P197" s="93">
        <v>3</v>
      </c>
      <c r="Q197" s="93">
        <v>3</v>
      </c>
      <c r="R197" s="93">
        <v>3</v>
      </c>
      <c r="S197" s="93">
        <v>1</v>
      </c>
      <c r="T197" s="93">
        <v>1</v>
      </c>
      <c r="U197" s="93">
        <v>1</v>
      </c>
      <c r="V197" s="93">
        <v>1</v>
      </c>
      <c r="W197" s="93">
        <v>1</v>
      </c>
      <c r="X197" s="93">
        <v>1</v>
      </c>
      <c r="Y197" s="93">
        <v>3</v>
      </c>
      <c r="Z197" s="93">
        <v>3</v>
      </c>
    </row>
    <row r="198" spans="1:26" ht="15" customHeight="1" x14ac:dyDescent="0.25">
      <c r="A198" s="121"/>
      <c r="B198" s="91"/>
      <c r="C198" s="91"/>
      <c r="D198" s="91" t="s">
        <v>767</v>
      </c>
      <c r="E198" s="101">
        <v>1</v>
      </c>
      <c r="F198" s="101">
        <v>1</v>
      </c>
      <c r="G198" s="101">
        <v>2</v>
      </c>
      <c r="H198" s="101">
        <v>3</v>
      </c>
      <c r="I198" s="101">
        <v>3</v>
      </c>
      <c r="J198" s="101"/>
      <c r="K198" s="101"/>
      <c r="L198" s="101"/>
      <c r="M198" s="101">
        <v>1</v>
      </c>
      <c r="N198" s="101">
        <v>1</v>
      </c>
      <c r="O198" s="98">
        <v>3</v>
      </c>
      <c r="P198" s="98">
        <v>3</v>
      </c>
      <c r="Q198" s="98">
        <v>3</v>
      </c>
      <c r="R198" s="98">
        <v>3</v>
      </c>
      <c r="S198" s="98">
        <v>1</v>
      </c>
      <c r="T198" s="98">
        <v>1</v>
      </c>
      <c r="U198" s="98">
        <v>1</v>
      </c>
      <c r="V198" s="98">
        <v>1</v>
      </c>
      <c r="W198" s="99">
        <v>1</v>
      </c>
      <c r="X198" s="99">
        <v>1</v>
      </c>
      <c r="Y198" s="98">
        <v>3</v>
      </c>
      <c r="Z198" s="98">
        <v>3</v>
      </c>
    </row>
    <row r="199" spans="1:26" ht="15" customHeight="1" x14ac:dyDescent="0.25">
      <c r="A199" s="121"/>
      <c r="B199" s="91"/>
      <c r="C199" s="91"/>
      <c r="D199" s="91" t="s">
        <v>768</v>
      </c>
      <c r="E199" s="101">
        <v>1</v>
      </c>
      <c r="F199" s="101">
        <v>1</v>
      </c>
      <c r="G199" s="101">
        <v>2</v>
      </c>
      <c r="H199" s="101">
        <v>3</v>
      </c>
      <c r="I199" s="101">
        <v>3</v>
      </c>
      <c r="J199" s="101"/>
      <c r="K199" s="101"/>
      <c r="L199" s="101"/>
      <c r="M199" s="101">
        <v>1</v>
      </c>
      <c r="N199" s="101">
        <v>1</v>
      </c>
      <c r="O199" s="98">
        <v>3</v>
      </c>
      <c r="P199" s="98">
        <v>3</v>
      </c>
      <c r="Q199" s="98">
        <v>3</v>
      </c>
      <c r="R199" s="98">
        <v>3</v>
      </c>
      <c r="S199" s="98">
        <v>1</v>
      </c>
      <c r="T199" s="98">
        <v>1</v>
      </c>
      <c r="U199" s="98">
        <v>1</v>
      </c>
      <c r="V199" s="98">
        <v>1</v>
      </c>
      <c r="W199" s="99">
        <v>1</v>
      </c>
      <c r="X199" s="99">
        <v>1</v>
      </c>
      <c r="Y199" s="98">
        <v>3</v>
      </c>
      <c r="Z199" s="98">
        <v>3</v>
      </c>
    </row>
    <row r="200" spans="1:26" ht="15" customHeight="1" x14ac:dyDescent="0.25">
      <c r="A200" s="121"/>
      <c r="B200" s="91"/>
      <c r="C200" s="91"/>
      <c r="D200" s="91" t="s">
        <v>769</v>
      </c>
      <c r="E200" s="101">
        <v>1</v>
      </c>
      <c r="F200" s="101">
        <v>1</v>
      </c>
      <c r="G200" s="101">
        <v>2</v>
      </c>
      <c r="H200" s="101">
        <v>3</v>
      </c>
      <c r="I200" s="101">
        <v>3</v>
      </c>
      <c r="J200" s="101"/>
      <c r="K200" s="101"/>
      <c r="L200" s="101"/>
      <c r="M200" s="101">
        <v>1</v>
      </c>
      <c r="N200" s="101">
        <v>1</v>
      </c>
      <c r="O200" s="98">
        <v>3</v>
      </c>
      <c r="P200" s="98">
        <v>3</v>
      </c>
      <c r="Q200" s="98">
        <v>3</v>
      </c>
      <c r="R200" s="98">
        <v>3</v>
      </c>
      <c r="S200" s="98">
        <v>1</v>
      </c>
      <c r="T200" s="98">
        <v>1</v>
      </c>
      <c r="U200" s="98">
        <v>1</v>
      </c>
      <c r="V200" s="98">
        <v>1</v>
      </c>
      <c r="W200" s="99">
        <v>1</v>
      </c>
      <c r="X200" s="99">
        <v>1</v>
      </c>
      <c r="Y200" s="98">
        <v>3</v>
      </c>
      <c r="Z200" s="98">
        <v>3</v>
      </c>
    </row>
    <row r="201" spans="1:26" ht="15" customHeight="1" x14ac:dyDescent="0.25">
      <c r="A201" s="121"/>
      <c r="B201" s="91" t="s">
        <v>571</v>
      </c>
      <c r="C201" s="91"/>
      <c r="D201" s="91"/>
      <c r="E201" s="101"/>
      <c r="F201" s="101"/>
      <c r="G201" s="101"/>
      <c r="H201" s="101"/>
      <c r="I201" s="101"/>
      <c r="J201" s="101"/>
      <c r="K201" s="101"/>
      <c r="L201" s="101"/>
      <c r="M201" s="101"/>
      <c r="N201" s="101"/>
      <c r="O201" s="98"/>
      <c r="P201" s="98"/>
      <c r="Q201" s="98"/>
      <c r="R201" s="98"/>
      <c r="S201" s="98"/>
      <c r="T201" s="98"/>
      <c r="U201" s="98"/>
      <c r="V201" s="98"/>
      <c r="W201" s="99"/>
      <c r="X201" s="99"/>
      <c r="Y201" s="98"/>
      <c r="Z201" s="98"/>
    </row>
    <row r="202" spans="1:26" ht="15" customHeight="1" x14ac:dyDescent="0.25">
      <c r="A202" s="121"/>
      <c r="B202" s="91"/>
      <c r="C202" s="91" t="s">
        <v>571</v>
      </c>
      <c r="D202" s="91" t="s">
        <v>573</v>
      </c>
      <c r="E202" s="101">
        <v>1</v>
      </c>
      <c r="F202" s="101">
        <v>1</v>
      </c>
      <c r="G202" s="101">
        <v>2</v>
      </c>
      <c r="H202" s="101">
        <v>3</v>
      </c>
      <c r="I202" s="101">
        <v>3</v>
      </c>
      <c r="J202" s="101">
        <v>1</v>
      </c>
      <c r="K202" s="101">
        <v>1</v>
      </c>
      <c r="L202" s="101">
        <v>2</v>
      </c>
      <c r="M202" s="101">
        <v>3</v>
      </c>
      <c r="N202" s="101">
        <v>3</v>
      </c>
      <c r="O202" s="98">
        <v>3</v>
      </c>
      <c r="P202" s="98">
        <v>3</v>
      </c>
      <c r="Q202" s="98">
        <v>3</v>
      </c>
      <c r="R202" s="98">
        <v>3</v>
      </c>
      <c r="S202" s="98">
        <v>1</v>
      </c>
      <c r="T202" s="98">
        <v>1</v>
      </c>
      <c r="U202" s="98">
        <v>1</v>
      </c>
      <c r="V202" s="98">
        <v>1</v>
      </c>
      <c r="W202" s="99">
        <v>1</v>
      </c>
      <c r="X202" s="99">
        <v>1</v>
      </c>
      <c r="Y202" s="98">
        <v>3</v>
      </c>
      <c r="Z202" s="98">
        <v>3</v>
      </c>
    </row>
    <row r="203" spans="1:26" ht="15" customHeight="1" x14ac:dyDescent="0.25">
      <c r="A203" s="121"/>
      <c r="B203" s="91"/>
      <c r="C203" s="91"/>
      <c r="D203" s="91" t="s">
        <v>299</v>
      </c>
      <c r="E203" s="101">
        <v>1</v>
      </c>
      <c r="F203" s="101">
        <v>1</v>
      </c>
      <c r="G203" s="101">
        <v>2</v>
      </c>
      <c r="H203" s="101">
        <v>3</v>
      </c>
      <c r="I203" s="101">
        <v>3</v>
      </c>
      <c r="J203" s="101"/>
      <c r="K203" s="101"/>
      <c r="L203" s="101"/>
      <c r="M203" s="101">
        <v>1</v>
      </c>
      <c r="N203" s="101">
        <v>1</v>
      </c>
      <c r="O203" s="98">
        <v>3</v>
      </c>
      <c r="P203" s="98">
        <v>3</v>
      </c>
      <c r="Q203" s="98">
        <v>3</v>
      </c>
      <c r="R203" s="98">
        <v>3</v>
      </c>
      <c r="S203" s="98">
        <v>1</v>
      </c>
      <c r="T203" s="98">
        <v>1</v>
      </c>
      <c r="U203" s="98">
        <v>1</v>
      </c>
      <c r="V203" s="98">
        <v>1</v>
      </c>
      <c r="W203" s="99">
        <v>1</v>
      </c>
      <c r="X203" s="99">
        <v>1</v>
      </c>
      <c r="Y203" s="98">
        <v>3</v>
      </c>
      <c r="Z203" s="98">
        <v>3</v>
      </c>
    </row>
    <row r="204" spans="1:26" ht="15" customHeight="1" x14ac:dyDescent="0.25">
      <c r="A204" s="121"/>
      <c r="B204" s="91"/>
      <c r="C204" s="91"/>
      <c r="D204" s="91" t="s">
        <v>576</v>
      </c>
      <c r="E204" s="102">
        <v>1</v>
      </c>
      <c r="F204" s="102">
        <v>1</v>
      </c>
      <c r="G204" s="102">
        <v>2</v>
      </c>
      <c r="H204" s="102">
        <v>3</v>
      </c>
      <c r="I204" s="102">
        <v>3</v>
      </c>
      <c r="J204" s="102"/>
      <c r="K204" s="102"/>
      <c r="L204" s="102"/>
      <c r="M204" s="102">
        <v>1</v>
      </c>
      <c r="N204" s="102">
        <v>1</v>
      </c>
      <c r="O204" s="100">
        <v>3</v>
      </c>
      <c r="P204" s="100">
        <v>3</v>
      </c>
      <c r="Q204" s="100">
        <v>3</v>
      </c>
      <c r="R204" s="100">
        <v>3</v>
      </c>
      <c r="S204" s="97">
        <v>1</v>
      </c>
      <c r="T204" s="97">
        <v>1</v>
      </c>
      <c r="U204" s="97">
        <v>1</v>
      </c>
      <c r="V204" s="97">
        <v>1</v>
      </c>
      <c r="W204" s="100">
        <v>1</v>
      </c>
      <c r="X204" s="100">
        <v>1</v>
      </c>
      <c r="Y204" s="98">
        <v>3</v>
      </c>
      <c r="Z204" s="98">
        <v>3</v>
      </c>
    </row>
    <row r="205" spans="1:26" ht="15" customHeight="1" x14ac:dyDescent="0.25">
      <c r="A205" s="121"/>
      <c r="B205" s="91"/>
      <c r="C205" s="91"/>
      <c r="D205" s="94" t="s">
        <v>578</v>
      </c>
      <c r="E205" s="92">
        <v>1</v>
      </c>
      <c r="F205" s="92">
        <v>1</v>
      </c>
      <c r="G205" s="92">
        <v>2</v>
      </c>
      <c r="H205" s="92">
        <v>3</v>
      </c>
      <c r="I205" s="92">
        <v>3</v>
      </c>
      <c r="J205" s="92"/>
      <c r="K205" s="92"/>
      <c r="L205" s="92"/>
      <c r="M205" s="92">
        <v>1</v>
      </c>
      <c r="N205" s="92">
        <v>1</v>
      </c>
      <c r="O205" s="93">
        <v>3</v>
      </c>
      <c r="P205" s="93">
        <v>3</v>
      </c>
      <c r="Q205" s="93">
        <v>3</v>
      </c>
      <c r="R205" s="93">
        <v>3</v>
      </c>
      <c r="S205" s="93">
        <v>1</v>
      </c>
      <c r="T205" s="93">
        <v>1</v>
      </c>
      <c r="U205" s="93">
        <v>1</v>
      </c>
      <c r="V205" s="93">
        <v>1</v>
      </c>
      <c r="W205" s="95">
        <v>1</v>
      </c>
      <c r="X205" s="95">
        <v>1</v>
      </c>
      <c r="Y205" s="93">
        <v>3</v>
      </c>
      <c r="Z205" s="93">
        <v>3</v>
      </c>
    </row>
    <row r="206" spans="1:26" ht="15" customHeight="1" x14ac:dyDescent="0.25">
      <c r="A206" s="121"/>
      <c r="B206" s="91" t="s">
        <v>770</v>
      </c>
      <c r="C206" s="91"/>
      <c r="D206" s="91"/>
      <c r="E206" s="92"/>
      <c r="F206" s="92"/>
      <c r="G206" s="92"/>
      <c r="H206" s="92"/>
      <c r="I206" s="92"/>
      <c r="J206" s="92"/>
      <c r="K206" s="92"/>
      <c r="L206" s="92"/>
      <c r="M206" s="92"/>
      <c r="N206" s="92"/>
      <c r="O206" s="93"/>
      <c r="P206" s="93"/>
      <c r="Q206" s="93"/>
      <c r="R206" s="93"/>
      <c r="S206" s="93"/>
      <c r="T206" s="93"/>
      <c r="U206" s="93"/>
      <c r="V206" s="93"/>
      <c r="W206" s="97"/>
      <c r="X206" s="97"/>
      <c r="Y206" s="93"/>
      <c r="Z206" s="93"/>
    </row>
    <row r="207" spans="1:26" ht="15" customHeight="1" x14ac:dyDescent="0.25">
      <c r="A207" s="121"/>
      <c r="B207" s="91"/>
      <c r="C207" s="91" t="s">
        <v>770</v>
      </c>
      <c r="D207" s="91" t="s">
        <v>273</v>
      </c>
      <c r="E207" s="92">
        <v>1</v>
      </c>
      <c r="F207" s="92">
        <v>2</v>
      </c>
      <c r="G207" s="92">
        <v>2</v>
      </c>
      <c r="H207" s="92">
        <v>3</v>
      </c>
      <c r="I207" s="92">
        <v>3</v>
      </c>
      <c r="J207" s="92">
        <v>1</v>
      </c>
      <c r="K207" s="92">
        <v>2</v>
      </c>
      <c r="L207" s="92">
        <v>2</v>
      </c>
      <c r="M207" s="92">
        <v>3</v>
      </c>
      <c r="N207" s="92">
        <v>3</v>
      </c>
      <c r="O207" s="93">
        <v>3</v>
      </c>
      <c r="P207" s="93">
        <v>3</v>
      </c>
      <c r="Q207" s="93">
        <v>3</v>
      </c>
      <c r="R207" s="93">
        <v>3</v>
      </c>
      <c r="S207" s="93">
        <v>2</v>
      </c>
      <c r="T207" s="93">
        <v>2</v>
      </c>
      <c r="U207" s="93">
        <v>2</v>
      </c>
      <c r="V207" s="93">
        <v>2</v>
      </c>
      <c r="W207" s="97">
        <v>2</v>
      </c>
      <c r="X207" s="97">
        <v>2</v>
      </c>
      <c r="Y207" s="93">
        <v>3</v>
      </c>
      <c r="Z207" s="93">
        <v>3</v>
      </c>
    </row>
    <row r="208" spans="1:26" ht="15" customHeight="1" x14ac:dyDescent="0.25">
      <c r="A208" s="121"/>
      <c r="B208" s="91"/>
      <c r="C208" s="91"/>
      <c r="D208" s="91" t="s">
        <v>274</v>
      </c>
      <c r="E208" s="92">
        <v>1</v>
      </c>
      <c r="F208" s="92">
        <v>1</v>
      </c>
      <c r="G208" s="92">
        <v>2</v>
      </c>
      <c r="H208" s="92">
        <v>3</v>
      </c>
      <c r="I208" s="92">
        <v>3</v>
      </c>
      <c r="J208" s="92"/>
      <c r="K208" s="92"/>
      <c r="L208" s="92"/>
      <c r="M208" s="92">
        <v>1</v>
      </c>
      <c r="N208" s="92">
        <v>1</v>
      </c>
      <c r="O208" s="93">
        <v>3</v>
      </c>
      <c r="P208" s="93">
        <v>3</v>
      </c>
      <c r="Q208" s="93">
        <v>3</v>
      </c>
      <c r="R208" s="93">
        <v>3</v>
      </c>
      <c r="S208" s="93">
        <v>1</v>
      </c>
      <c r="T208" s="93">
        <v>1</v>
      </c>
      <c r="U208" s="93">
        <v>1</v>
      </c>
      <c r="V208" s="93">
        <v>1</v>
      </c>
      <c r="W208" s="97">
        <v>1</v>
      </c>
      <c r="X208" s="97">
        <v>1</v>
      </c>
      <c r="Y208" s="93">
        <v>3</v>
      </c>
      <c r="Z208" s="93">
        <v>3</v>
      </c>
    </row>
    <row r="209" spans="1:26" ht="15" customHeight="1" x14ac:dyDescent="0.25">
      <c r="A209" s="121"/>
      <c r="B209" s="91"/>
      <c r="C209" s="91"/>
      <c r="D209" s="91" t="s">
        <v>275</v>
      </c>
      <c r="E209" s="92">
        <v>1</v>
      </c>
      <c r="F209" s="92">
        <v>1</v>
      </c>
      <c r="G209" s="92">
        <v>2</v>
      </c>
      <c r="H209" s="92">
        <v>3</v>
      </c>
      <c r="I209" s="92">
        <v>3</v>
      </c>
      <c r="J209" s="92"/>
      <c r="K209" s="92"/>
      <c r="L209" s="92"/>
      <c r="M209" s="92">
        <v>1</v>
      </c>
      <c r="N209" s="92">
        <v>1</v>
      </c>
      <c r="O209" s="93">
        <v>3</v>
      </c>
      <c r="P209" s="93">
        <v>3</v>
      </c>
      <c r="Q209" s="93">
        <v>3</v>
      </c>
      <c r="R209" s="93">
        <v>3</v>
      </c>
      <c r="S209" s="93">
        <v>1</v>
      </c>
      <c r="T209" s="93">
        <v>1</v>
      </c>
      <c r="U209" s="93">
        <v>1</v>
      </c>
      <c r="V209" s="93">
        <v>1</v>
      </c>
      <c r="W209" s="97">
        <v>1</v>
      </c>
      <c r="X209" s="97">
        <v>1</v>
      </c>
      <c r="Y209" s="93">
        <v>3</v>
      </c>
      <c r="Z209" s="93">
        <v>3</v>
      </c>
    </row>
    <row r="210" spans="1:26" ht="15" customHeight="1" x14ac:dyDescent="0.25">
      <c r="A210" s="121"/>
      <c r="B210" s="91"/>
      <c r="C210" s="91"/>
      <c r="D210" s="91" t="s">
        <v>300</v>
      </c>
      <c r="E210" s="92">
        <v>1</v>
      </c>
      <c r="F210" s="92">
        <v>1</v>
      </c>
      <c r="G210" s="92">
        <v>2</v>
      </c>
      <c r="H210" s="92">
        <v>3</v>
      </c>
      <c r="I210" s="92">
        <v>3</v>
      </c>
      <c r="J210" s="92"/>
      <c r="K210" s="92"/>
      <c r="L210" s="92"/>
      <c r="M210" s="92">
        <v>1</v>
      </c>
      <c r="N210" s="92">
        <v>1</v>
      </c>
      <c r="O210" s="93">
        <v>3</v>
      </c>
      <c r="P210" s="93">
        <v>3</v>
      </c>
      <c r="Q210" s="93">
        <v>3</v>
      </c>
      <c r="R210" s="93">
        <v>3</v>
      </c>
      <c r="S210" s="93">
        <v>1</v>
      </c>
      <c r="T210" s="93">
        <v>1</v>
      </c>
      <c r="U210" s="93">
        <v>1</v>
      </c>
      <c r="V210" s="93">
        <v>1</v>
      </c>
      <c r="W210" s="97">
        <v>1</v>
      </c>
      <c r="X210" s="97">
        <v>1</v>
      </c>
      <c r="Y210" s="93">
        <v>3</v>
      </c>
      <c r="Z210" s="93">
        <v>3</v>
      </c>
    </row>
    <row r="211" spans="1:26" x14ac:dyDescent="0.25">
      <c r="B211" s="91"/>
      <c r="C211" s="91"/>
      <c r="D211" s="91" t="s">
        <v>301</v>
      </c>
      <c r="E211" s="92">
        <v>1</v>
      </c>
      <c r="F211" s="92">
        <v>1</v>
      </c>
      <c r="G211" s="92">
        <v>2</v>
      </c>
      <c r="H211" s="92">
        <v>3</v>
      </c>
      <c r="I211" s="92">
        <v>3</v>
      </c>
      <c r="J211" s="92"/>
      <c r="K211" s="92"/>
      <c r="L211" s="92"/>
      <c r="M211" s="92">
        <v>1</v>
      </c>
      <c r="N211" s="92">
        <v>1</v>
      </c>
      <c r="O211" s="93">
        <v>3</v>
      </c>
      <c r="P211" s="93">
        <v>3</v>
      </c>
      <c r="Q211" s="93">
        <v>3</v>
      </c>
      <c r="R211" s="93">
        <v>3</v>
      </c>
      <c r="S211" s="93">
        <v>1</v>
      </c>
      <c r="T211" s="93">
        <v>1</v>
      </c>
      <c r="U211" s="93">
        <v>1</v>
      </c>
      <c r="V211" s="93">
        <v>1</v>
      </c>
      <c r="W211" s="97">
        <v>1</v>
      </c>
      <c r="X211" s="97">
        <v>1</v>
      </c>
      <c r="Y211" s="93">
        <v>3</v>
      </c>
      <c r="Z211" s="93">
        <v>3</v>
      </c>
    </row>
    <row r="212" spans="1:26" x14ac:dyDescent="0.25">
      <c r="B212" s="91" t="s">
        <v>302</v>
      </c>
      <c r="C212" s="91"/>
      <c r="D212" s="91"/>
      <c r="E212" s="92"/>
      <c r="F212" s="92"/>
      <c r="G212" s="92"/>
      <c r="H212" s="92"/>
      <c r="I212" s="92"/>
      <c r="J212" s="92"/>
      <c r="K212" s="92"/>
      <c r="L212" s="92"/>
      <c r="M212" s="92"/>
      <c r="N212" s="92"/>
      <c r="O212" s="93"/>
      <c r="P212" s="93"/>
      <c r="Q212" s="93"/>
      <c r="R212" s="93"/>
      <c r="S212" s="93"/>
      <c r="T212" s="93"/>
      <c r="U212" s="93"/>
      <c r="V212" s="93"/>
      <c r="W212" s="97"/>
      <c r="X212" s="97"/>
      <c r="Y212" s="93"/>
      <c r="Z212" s="93"/>
    </row>
    <row r="213" spans="1:26" x14ac:dyDescent="0.25">
      <c r="B213" s="91"/>
      <c r="C213" s="91" t="s">
        <v>302</v>
      </c>
      <c r="D213" s="91" t="s">
        <v>296</v>
      </c>
      <c r="E213" s="92">
        <v>1</v>
      </c>
      <c r="F213" s="92">
        <v>1</v>
      </c>
      <c r="G213" s="92">
        <v>2</v>
      </c>
      <c r="H213" s="92">
        <v>3</v>
      </c>
      <c r="I213" s="92">
        <v>3</v>
      </c>
      <c r="J213" s="92">
        <v>1</v>
      </c>
      <c r="K213" s="92">
        <v>2</v>
      </c>
      <c r="L213" s="92">
        <v>2</v>
      </c>
      <c r="M213" s="92">
        <v>3</v>
      </c>
      <c r="N213" s="92">
        <v>3</v>
      </c>
      <c r="O213" s="93">
        <v>3</v>
      </c>
      <c r="P213" s="93">
        <v>3</v>
      </c>
      <c r="Q213" s="93">
        <v>3</v>
      </c>
      <c r="R213" s="93">
        <v>3</v>
      </c>
      <c r="S213" s="93">
        <v>1</v>
      </c>
      <c r="T213" s="93">
        <v>1</v>
      </c>
      <c r="U213" s="93">
        <v>1</v>
      </c>
      <c r="V213" s="93">
        <v>1</v>
      </c>
      <c r="W213" s="97">
        <v>1</v>
      </c>
      <c r="X213" s="97">
        <v>1</v>
      </c>
      <c r="Y213" s="93">
        <v>3</v>
      </c>
      <c r="Z213" s="93">
        <v>3</v>
      </c>
    </row>
    <row r="214" spans="1:26" x14ac:dyDescent="0.25">
      <c r="B214" s="91"/>
      <c r="C214" s="91"/>
      <c r="D214" s="91" t="s">
        <v>586</v>
      </c>
      <c r="E214" s="92">
        <v>1</v>
      </c>
      <c r="F214" s="92">
        <v>1</v>
      </c>
      <c r="G214" s="92">
        <v>2</v>
      </c>
      <c r="H214" s="92">
        <v>3</v>
      </c>
      <c r="I214" s="92">
        <v>3</v>
      </c>
      <c r="J214" s="92"/>
      <c r="K214" s="92"/>
      <c r="L214" s="92"/>
      <c r="M214" s="92">
        <v>1</v>
      </c>
      <c r="N214" s="92">
        <v>3</v>
      </c>
      <c r="O214" s="93">
        <v>3</v>
      </c>
      <c r="P214" s="93">
        <v>3</v>
      </c>
      <c r="Q214" s="93">
        <v>3</v>
      </c>
      <c r="R214" s="93">
        <v>3</v>
      </c>
      <c r="S214" s="93">
        <v>1</v>
      </c>
      <c r="T214" s="93">
        <v>1</v>
      </c>
      <c r="U214" s="93">
        <v>1</v>
      </c>
      <c r="V214" s="93">
        <v>1</v>
      </c>
      <c r="W214" s="97">
        <v>1</v>
      </c>
      <c r="X214" s="97">
        <v>1</v>
      </c>
      <c r="Y214" s="93">
        <v>3</v>
      </c>
      <c r="Z214" s="93">
        <v>3</v>
      </c>
    </row>
    <row r="215" spans="1:26" x14ac:dyDescent="0.25">
      <c r="B215" s="91"/>
      <c r="C215" s="91"/>
      <c r="D215" s="91" t="s">
        <v>588</v>
      </c>
      <c r="E215" s="92">
        <v>1</v>
      </c>
      <c r="F215" s="92">
        <v>1</v>
      </c>
      <c r="G215" s="92">
        <v>2</v>
      </c>
      <c r="H215" s="92">
        <v>3</v>
      </c>
      <c r="I215" s="92">
        <v>3</v>
      </c>
      <c r="J215" s="92"/>
      <c r="K215" s="92"/>
      <c r="L215" s="92"/>
      <c r="M215" s="92">
        <v>1</v>
      </c>
      <c r="N215" s="92">
        <v>1</v>
      </c>
      <c r="O215" s="93">
        <v>3</v>
      </c>
      <c r="P215" s="93">
        <v>3</v>
      </c>
      <c r="Q215" s="93">
        <v>3</v>
      </c>
      <c r="R215" s="93">
        <v>3</v>
      </c>
      <c r="S215" s="93">
        <v>1</v>
      </c>
      <c r="T215" s="93">
        <v>1</v>
      </c>
      <c r="U215" s="93">
        <v>1</v>
      </c>
      <c r="V215" s="93">
        <v>1</v>
      </c>
      <c r="W215" s="97">
        <v>1</v>
      </c>
      <c r="X215" s="97">
        <v>1</v>
      </c>
      <c r="Y215" s="93">
        <v>3</v>
      </c>
      <c r="Z215" s="93">
        <v>3</v>
      </c>
    </row>
    <row r="216" spans="1:26" x14ac:dyDescent="0.25">
      <c r="B216" s="91"/>
      <c r="C216" s="91"/>
      <c r="D216" s="91" t="s">
        <v>590</v>
      </c>
      <c r="E216" s="92">
        <v>1</v>
      </c>
      <c r="F216" s="92">
        <v>1</v>
      </c>
      <c r="G216" s="92">
        <v>2</v>
      </c>
      <c r="H216" s="92">
        <v>3</v>
      </c>
      <c r="I216" s="92">
        <v>3</v>
      </c>
      <c r="J216" s="92"/>
      <c r="K216" s="92"/>
      <c r="L216" s="92"/>
      <c r="M216" s="92">
        <v>1</v>
      </c>
      <c r="N216" s="92">
        <v>1</v>
      </c>
      <c r="O216" s="93">
        <v>3</v>
      </c>
      <c r="P216" s="93">
        <v>3</v>
      </c>
      <c r="Q216" s="93">
        <v>3</v>
      </c>
      <c r="R216" s="93">
        <v>3</v>
      </c>
      <c r="S216" s="93">
        <v>1</v>
      </c>
      <c r="T216" s="93">
        <v>1</v>
      </c>
      <c r="U216" s="93">
        <v>1</v>
      </c>
      <c r="V216" s="93">
        <v>1</v>
      </c>
      <c r="W216" s="97">
        <v>1</v>
      </c>
      <c r="X216" s="97">
        <v>1</v>
      </c>
      <c r="Y216" s="93">
        <v>3</v>
      </c>
      <c r="Z216" s="93">
        <v>3</v>
      </c>
    </row>
    <row r="217" spans="1:26" x14ac:dyDescent="0.25">
      <c r="B217" s="91"/>
      <c r="C217" s="91"/>
      <c r="D217" s="91" t="s">
        <v>592</v>
      </c>
      <c r="E217" s="92">
        <v>1</v>
      </c>
      <c r="F217" s="92">
        <v>1</v>
      </c>
      <c r="G217" s="92">
        <v>2</v>
      </c>
      <c r="H217" s="92">
        <v>3</v>
      </c>
      <c r="I217" s="92">
        <v>3</v>
      </c>
      <c r="J217" s="92"/>
      <c r="K217" s="92"/>
      <c r="L217" s="92"/>
      <c r="M217" s="92">
        <v>1</v>
      </c>
      <c r="N217" s="92">
        <v>1</v>
      </c>
      <c r="O217" s="93">
        <v>3</v>
      </c>
      <c r="P217" s="93">
        <v>3</v>
      </c>
      <c r="Q217" s="93">
        <v>3</v>
      </c>
      <c r="R217" s="93">
        <v>3</v>
      </c>
      <c r="S217" s="93">
        <v>1</v>
      </c>
      <c r="T217" s="93">
        <v>1</v>
      </c>
      <c r="U217" s="93">
        <v>1</v>
      </c>
      <c r="V217" s="93">
        <v>1</v>
      </c>
      <c r="W217" s="97">
        <v>1</v>
      </c>
      <c r="X217" s="97">
        <v>1</v>
      </c>
      <c r="Y217" s="93">
        <v>3</v>
      </c>
      <c r="Z217" s="93">
        <v>3</v>
      </c>
    </row>
    <row r="218" spans="1:26" x14ac:dyDescent="0.25">
      <c r="B218" s="91"/>
      <c r="C218" s="91"/>
      <c r="D218" s="91" t="s">
        <v>594</v>
      </c>
      <c r="E218" s="92">
        <v>1</v>
      </c>
      <c r="F218" s="92">
        <v>1</v>
      </c>
      <c r="G218" s="92">
        <v>2</v>
      </c>
      <c r="H218" s="92">
        <v>3</v>
      </c>
      <c r="I218" s="92">
        <v>3</v>
      </c>
      <c r="J218" s="92"/>
      <c r="K218" s="92"/>
      <c r="L218" s="92"/>
      <c r="M218" s="92">
        <v>1</v>
      </c>
      <c r="N218" s="92">
        <v>1</v>
      </c>
      <c r="O218" s="93">
        <v>3</v>
      </c>
      <c r="P218" s="93">
        <v>3</v>
      </c>
      <c r="Q218" s="93">
        <v>3</v>
      </c>
      <c r="R218" s="93">
        <v>3</v>
      </c>
      <c r="S218" s="93">
        <v>1</v>
      </c>
      <c r="T218" s="93">
        <v>1</v>
      </c>
      <c r="U218" s="93">
        <v>1</v>
      </c>
      <c r="V218" s="93">
        <v>1</v>
      </c>
      <c r="W218" s="97">
        <v>1</v>
      </c>
      <c r="X218" s="97">
        <v>1</v>
      </c>
      <c r="Y218" s="93">
        <v>3</v>
      </c>
      <c r="Z218" s="93">
        <v>3</v>
      </c>
    </row>
    <row r="219" spans="1:26" x14ac:dyDescent="0.25">
      <c r="B219" s="91"/>
      <c r="C219" s="91"/>
      <c r="D219" s="91" t="s">
        <v>596</v>
      </c>
      <c r="E219" s="92">
        <v>1</v>
      </c>
      <c r="F219" s="92">
        <v>1</v>
      </c>
      <c r="G219" s="92">
        <v>2</v>
      </c>
      <c r="H219" s="92">
        <v>3</v>
      </c>
      <c r="I219" s="92">
        <v>3</v>
      </c>
      <c r="J219" s="92"/>
      <c r="K219" s="92"/>
      <c r="L219" s="92"/>
      <c r="M219" s="92">
        <v>1</v>
      </c>
      <c r="N219" s="92">
        <v>1</v>
      </c>
      <c r="O219" s="93">
        <v>3</v>
      </c>
      <c r="P219" s="93">
        <v>3</v>
      </c>
      <c r="Q219" s="93">
        <v>3</v>
      </c>
      <c r="R219" s="93">
        <v>3</v>
      </c>
      <c r="S219" s="93">
        <v>1</v>
      </c>
      <c r="T219" s="93">
        <v>1</v>
      </c>
      <c r="U219" s="93">
        <v>1</v>
      </c>
      <c r="V219" s="93">
        <v>1</v>
      </c>
      <c r="W219" s="97">
        <v>1</v>
      </c>
      <c r="X219" s="97">
        <v>1</v>
      </c>
      <c r="Y219" s="93">
        <v>3</v>
      </c>
      <c r="Z219" s="93">
        <v>3</v>
      </c>
    </row>
    <row r="220" spans="1:26" x14ac:dyDescent="0.25">
      <c r="B220" s="91"/>
      <c r="C220" s="91"/>
      <c r="D220" s="91" t="s">
        <v>264</v>
      </c>
      <c r="E220" s="92">
        <v>1</v>
      </c>
      <c r="F220" s="92">
        <v>1</v>
      </c>
      <c r="G220" s="92">
        <v>2</v>
      </c>
      <c r="H220" s="92">
        <v>3</v>
      </c>
      <c r="I220" s="92">
        <v>3</v>
      </c>
      <c r="J220" s="92">
        <v>1</v>
      </c>
      <c r="K220" s="92">
        <v>1</v>
      </c>
      <c r="L220" s="92">
        <v>2</v>
      </c>
      <c r="M220" s="92">
        <v>3</v>
      </c>
      <c r="N220" s="92">
        <v>1</v>
      </c>
      <c r="O220" s="93">
        <v>3</v>
      </c>
      <c r="P220" s="93">
        <v>3</v>
      </c>
      <c r="Q220" s="93">
        <v>3</v>
      </c>
      <c r="R220" s="93">
        <v>3</v>
      </c>
      <c r="S220" s="93">
        <v>1</v>
      </c>
      <c r="T220" s="93">
        <v>1</v>
      </c>
      <c r="U220" s="93">
        <v>1</v>
      </c>
      <c r="V220" s="93">
        <v>1</v>
      </c>
      <c r="W220" s="97">
        <v>1</v>
      </c>
      <c r="X220" s="97">
        <v>1</v>
      </c>
      <c r="Y220" s="93">
        <v>3</v>
      </c>
      <c r="Z220" s="93">
        <v>3</v>
      </c>
    </row>
    <row r="221" spans="1:26" x14ac:dyDescent="0.25">
      <c r="B221" s="91" t="s">
        <v>303</v>
      </c>
      <c r="C221" s="91"/>
      <c r="D221" s="91"/>
      <c r="E221" s="92"/>
      <c r="F221" s="92"/>
      <c r="G221" s="92"/>
      <c r="H221" s="92"/>
      <c r="I221" s="92"/>
      <c r="J221" s="92"/>
      <c r="K221" s="92"/>
      <c r="L221" s="92"/>
      <c r="M221" s="92"/>
      <c r="N221" s="92"/>
      <c r="O221" s="93"/>
      <c r="P221" s="93"/>
      <c r="Q221" s="93"/>
      <c r="R221" s="93"/>
      <c r="S221" s="93"/>
      <c r="T221" s="93"/>
      <c r="U221" s="93"/>
      <c r="V221" s="93"/>
      <c r="W221" s="97"/>
      <c r="X221" s="97"/>
      <c r="Y221" s="93"/>
      <c r="Z221" s="93"/>
    </row>
    <row r="222" spans="1:26" x14ac:dyDescent="0.25">
      <c r="B222" s="91"/>
      <c r="C222" s="91" t="s">
        <v>303</v>
      </c>
      <c r="D222" s="91" t="s">
        <v>304</v>
      </c>
      <c r="E222" s="92">
        <v>2</v>
      </c>
      <c r="F222" s="92">
        <v>2</v>
      </c>
      <c r="G222" s="92">
        <v>3</v>
      </c>
      <c r="H222" s="92">
        <v>3</v>
      </c>
      <c r="I222" s="92">
        <v>3</v>
      </c>
      <c r="J222" s="92">
        <v>2</v>
      </c>
      <c r="K222" s="92">
        <v>2</v>
      </c>
      <c r="L222" s="92">
        <v>3</v>
      </c>
      <c r="M222" s="92">
        <v>3</v>
      </c>
      <c r="N222" s="92">
        <v>3</v>
      </c>
      <c r="O222" s="93">
        <v>3</v>
      </c>
      <c r="P222" s="93">
        <v>3</v>
      </c>
      <c r="Q222" s="93">
        <v>3</v>
      </c>
      <c r="R222" s="93">
        <v>3</v>
      </c>
      <c r="S222" s="93">
        <v>2</v>
      </c>
      <c r="T222" s="93">
        <v>2</v>
      </c>
      <c r="U222" s="93">
        <v>2</v>
      </c>
      <c r="V222" s="93">
        <v>2</v>
      </c>
      <c r="W222" s="97">
        <v>3</v>
      </c>
      <c r="X222" s="97">
        <v>3</v>
      </c>
      <c r="Y222" s="93">
        <v>3</v>
      </c>
      <c r="Z222" s="93">
        <v>3</v>
      </c>
    </row>
    <row r="223" spans="1:26" x14ac:dyDescent="0.25">
      <c r="B223" s="91"/>
      <c r="C223" s="91"/>
      <c r="D223" s="91" t="s">
        <v>305</v>
      </c>
      <c r="E223" s="92"/>
      <c r="F223" s="92"/>
      <c r="G223" s="92"/>
      <c r="H223" s="92"/>
      <c r="I223" s="92"/>
      <c r="J223" s="92"/>
      <c r="K223" s="92"/>
      <c r="L223" s="92"/>
      <c r="M223" s="92"/>
      <c r="N223" s="92"/>
      <c r="O223" s="93"/>
      <c r="P223" s="93"/>
      <c r="Q223" s="93"/>
      <c r="R223" s="93"/>
      <c r="S223" s="93">
        <v>2</v>
      </c>
      <c r="T223" s="93">
        <v>2</v>
      </c>
      <c r="U223" s="93">
        <v>2</v>
      </c>
      <c r="V223" s="93">
        <v>2</v>
      </c>
      <c r="W223" s="97"/>
      <c r="X223" s="97"/>
      <c r="Y223" s="93">
        <v>2</v>
      </c>
      <c r="Z223" s="93">
        <v>3</v>
      </c>
    </row>
    <row r="224" spans="1:26" x14ac:dyDescent="0.25">
      <c r="B224" s="91"/>
      <c r="C224" s="91"/>
      <c r="D224" s="91" t="s">
        <v>306</v>
      </c>
      <c r="E224" s="92">
        <v>1</v>
      </c>
      <c r="F224" s="92">
        <v>2</v>
      </c>
      <c r="G224" s="92">
        <v>3</v>
      </c>
      <c r="H224" s="92">
        <v>3</v>
      </c>
      <c r="I224" s="92">
        <v>3</v>
      </c>
      <c r="J224" s="92">
        <v>1</v>
      </c>
      <c r="K224" s="92">
        <v>2</v>
      </c>
      <c r="L224" s="92">
        <v>3</v>
      </c>
      <c r="M224" s="92">
        <v>3</v>
      </c>
      <c r="N224" s="92">
        <v>3</v>
      </c>
      <c r="O224" s="93">
        <v>3</v>
      </c>
      <c r="P224" s="93">
        <v>3</v>
      </c>
      <c r="Q224" s="93">
        <v>3</v>
      </c>
      <c r="R224" s="93">
        <v>3</v>
      </c>
      <c r="S224" s="93"/>
      <c r="T224" s="93"/>
      <c r="U224" s="93"/>
      <c r="V224" s="93"/>
      <c r="W224" s="97">
        <v>3</v>
      </c>
      <c r="X224" s="97">
        <v>3</v>
      </c>
      <c r="Y224" s="93">
        <v>3</v>
      </c>
      <c r="Z224" s="93">
        <v>3</v>
      </c>
    </row>
    <row r="225" spans="2:26" x14ac:dyDescent="0.25">
      <c r="B225" s="91"/>
      <c r="C225" s="91"/>
      <c r="D225" s="91" t="s">
        <v>307</v>
      </c>
      <c r="E225" s="92"/>
      <c r="F225" s="92"/>
      <c r="G225" s="92"/>
      <c r="H225" s="92"/>
      <c r="I225" s="92"/>
      <c r="J225" s="92"/>
      <c r="K225" s="92"/>
      <c r="L225" s="92"/>
      <c r="M225" s="92"/>
      <c r="N225" s="92"/>
      <c r="O225" s="93">
        <v>2</v>
      </c>
      <c r="P225" s="93">
        <v>2</v>
      </c>
      <c r="Q225" s="93">
        <v>3</v>
      </c>
      <c r="R225" s="93">
        <v>3</v>
      </c>
      <c r="S225" s="93"/>
      <c r="T225" s="93"/>
      <c r="U225" s="93"/>
      <c r="V225" s="93"/>
      <c r="W225" s="97"/>
      <c r="X225" s="97"/>
      <c r="Y225" s="93">
        <v>3</v>
      </c>
      <c r="Z225" s="93">
        <v>3</v>
      </c>
    </row>
    <row r="226" spans="2:26" x14ac:dyDescent="0.25">
      <c r="B226" s="91"/>
      <c r="C226" s="91"/>
      <c r="D226" s="91" t="s">
        <v>308</v>
      </c>
      <c r="E226" s="92">
        <v>1</v>
      </c>
      <c r="F226" s="92">
        <v>2</v>
      </c>
      <c r="G226" s="92">
        <v>2</v>
      </c>
      <c r="H226" s="92">
        <v>2</v>
      </c>
      <c r="I226" s="92">
        <v>2</v>
      </c>
      <c r="J226" s="92">
        <v>2</v>
      </c>
      <c r="K226" s="92">
        <v>2</v>
      </c>
      <c r="L226" s="92">
        <v>2</v>
      </c>
      <c r="M226" s="92">
        <v>2</v>
      </c>
      <c r="N226" s="92">
        <v>2</v>
      </c>
      <c r="O226" s="93">
        <v>3</v>
      </c>
      <c r="P226" s="93">
        <v>3</v>
      </c>
      <c r="Q226" s="93">
        <v>3</v>
      </c>
      <c r="R226" s="93">
        <v>3</v>
      </c>
      <c r="S226" s="93">
        <v>2</v>
      </c>
      <c r="T226" s="93">
        <v>2</v>
      </c>
      <c r="U226" s="93">
        <v>2</v>
      </c>
      <c r="V226" s="93">
        <v>2</v>
      </c>
      <c r="W226" s="97"/>
      <c r="X226" s="97"/>
      <c r="Y226" s="93">
        <v>3</v>
      </c>
      <c r="Z226" s="93">
        <v>3</v>
      </c>
    </row>
    <row r="227" spans="2:26" x14ac:dyDescent="0.25">
      <c r="B227" s="91"/>
      <c r="C227" s="91"/>
      <c r="D227" s="91" t="s">
        <v>309</v>
      </c>
      <c r="E227" s="92"/>
      <c r="F227" s="92"/>
      <c r="G227" s="92"/>
      <c r="H227" s="92"/>
      <c r="I227" s="92"/>
      <c r="J227" s="92"/>
      <c r="K227" s="92"/>
      <c r="L227" s="92"/>
      <c r="M227" s="92"/>
      <c r="N227" s="92"/>
      <c r="O227" s="93"/>
      <c r="P227" s="93"/>
      <c r="Q227" s="93"/>
      <c r="R227" s="93"/>
      <c r="S227" s="93">
        <v>2</v>
      </c>
      <c r="T227" s="93">
        <v>2</v>
      </c>
      <c r="U227" s="93">
        <v>2</v>
      </c>
      <c r="V227" s="93">
        <v>2</v>
      </c>
      <c r="W227" s="97">
        <v>3</v>
      </c>
      <c r="X227" s="97">
        <v>3</v>
      </c>
      <c r="Y227" s="93">
        <v>3</v>
      </c>
      <c r="Z227" s="93">
        <v>3</v>
      </c>
    </row>
    <row r="228" spans="2:26" x14ac:dyDescent="0.25">
      <c r="B228" s="91"/>
      <c r="C228" s="91"/>
      <c r="D228" s="91" t="s">
        <v>310</v>
      </c>
      <c r="E228" s="92"/>
      <c r="F228" s="92"/>
      <c r="G228" s="92"/>
      <c r="H228" s="92"/>
      <c r="I228" s="92"/>
      <c r="J228" s="92"/>
      <c r="K228" s="92"/>
      <c r="L228" s="92"/>
      <c r="M228" s="92"/>
      <c r="N228" s="92"/>
      <c r="O228" s="93"/>
      <c r="P228" s="93"/>
      <c r="Q228" s="93"/>
      <c r="R228" s="93"/>
      <c r="S228" s="93">
        <v>2</v>
      </c>
      <c r="T228" s="93">
        <v>2</v>
      </c>
      <c r="U228" s="93">
        <v>2</v>
      </c>
      <c r="V228" s="93">
        <v>2</v>
      </c>
      <c r="W228" s="97">
        <v>2</v>
      </c>
      <c r="X228" s="97">
        <v>2</v>
      </c>
      <c r="Y228" s="93">
        <v>2</v>
      </c>
      <c r="Z228" s="93">
        <v>2</v>
      </c>
    </row>
    <row r="229" spans="2:26" x14ac:dyDescent="0.25">
      <c r="B229" s="91" t="s">
        <v>94</v>
      </c>
      <c r="C229" s="91"/>
      <c r="D229" s="91"/>
      <c r="E229" s="92"/>
      <c r="F229" s="92"/>
      <c r="G229" s="92"/>
      <c r="H229" s="92"/>
      <c r="I229" s="92"/>
      <c r="J229" s="92"/>
      <c r="K229" s="92"/>
      <c r="L229" s="92"/>
      <c r="M229" s="92"/>
      <c r="N229" s="92"/>
      <c r="O229" s="93"/>
      <c r="P229" s="93"/>
      <c r="Q229" s="93"/>
      <c r="R229" s="93"/>
      <c r="S229" s="93"/>
      <c r="T229" s="93"/>
      <c r="U229" s="93"/>
      <c r="V229" s="93"/>
      <c r="W229" s="97"/>
      <c r="X229" s="97"/>
      <c r="Y229" s="93"/>
      <c r="Z229" s="93"/>
    </row>
    <row r="230" spans="2:26" x14ac:dyDescent="0.25">
      <c r="B230" s="91"/>
      <c r="C230" s="91" t="s">
        <v>94</v>
      </c>
      <c r="D230" s="91" t="s">
        <v>95</v>
      </c>
      <c r="E230" s="92">
        <v>1</v>
      </c>
      <c r="F230" s="92">
        <v>2</v>
      </c>
      <c r="G230" s="92">
        <v>2</v>
      </c>
      <c r="H230" s="92">
        <v>3</v>
      </c>
      <c r="I230" s="92">
        <v>3</v>
      </c>
      <c r="J230" s="92">
        <v>1</v>
      </c>
      <c r="K230" s="92">
        <v>2</v>
      </c>
      <c r="L230" s="92">
        <v>2</v>
      </c>
      <c r="M230" s="92">
        <v>3</v>
      </c>
      <c r="N230" s="92">
        <v>3</v>
      </c>
      <c r="O230" s="93">
        <v>3</v>
      </c>
      <c r="P230" s="93">
        <v>3</v>
      </c>
      <c r="Q230" s="93">
        <v>3</v>
      </c>
      <c r="R230" s="93">
        <v>3</v>
      </c>
      <c r="S230" s="93">
        <v>2</v>
      </c>
      <c r="T230" s="93">
        <v>2</v>
      </c>
      <c r="U230" s="93">
        <v>2</v>
      </c>
      <c r="V230" s="93">
        <v>2</v>
      </c>
      <c r="W230" s="97">
        <v>2</v>
      </c>
      <c r="X230" s="97">
        <v>2</v>
      </c>
      <c r="Y230" s="93">
        <v>3</v>
      </c>
      <c r="Z230" s="93">
        <v>3</v>
      </c>
    </row>
    <row r="231" spans="2:26" x14ac:dyDescent="0.25">
      <c r="B231" s="91"/>
      <c r="C231" s="91"/>
      <c r="D231" s="91" t="s">
        <v>96</v>
      </c>
      <c r="E231" s="92">
        <v>1</v>
      </c>
      <c r="F231" s="92">
        <v>1</v>
      </c>
      <c r="G231" s="92">
        <v>2</v>
      </c>
      <c r="H231" s="92">
        <v>3</v>
      </c>
      <c r="I231" s="92">
        <v>3</v>
      </c>
      <c r="J231" s="92"/>
      <c r="K231" s="92"/>
      <c r="L231" s="92"/>
      <c r="M231" s="92">
        <v>1</v>
      </c>
      <c r="N231" s="92">
        <v>1</v>
      </c>
      <c r="O231" s="93">
        <v>3</v>
      </c>
      <c r="P231" s="93">
        <v>3</v>
      </c>
      <c r="Q231" s="93">
        <v>3</v>
      </c>
      <c r="R231" s="93">
        <v>3</v>
      </c>
      <c r="S231" s="93">
        <v>1</v>
      </c>
      <c r="T231" s="93">
        <v>1</v>
      </c>
      <c r="U231" s="93">
        <v>1</v>
      </c>
      <c r="V231" s="93">
        <v>1</v>
      </c>
      <c r="W231" s="97">
        <v>1</v>
      </c>
      <c r="X231" s="97">
        <v>1</v>
      </c>
      <c r="Y231" s="93">
        <v>3</v>
      </c>
      <c r="Z231" s="93">
        <v>3</v>
      </c>
    </row>
    <row r="232" spans="2:26" x14ac:dyDescent="0.25">
      <c r="B232" s="91"/>
      <c r="C232" s="91"/>
      <c r="D232" s="91" t="s">
        <v>97</v>
      </c>
      <c r="E232" s="92">
        <v>1</v>
      </c>
      <c r="F232" s="92">
        <v>1</v>
      </c>
      <c r="G232" s="92">
        <v>2</v>
      </c>
      <c r="H232" s="92">
        <v>3</v>
      </c>
      <c r="I232" s="92">
        <v>3</v>
      </c>
      <c r="J232" s="92"/>
      <c r="K232" s="92"/>
      <c r="L232" s="92"/>
      <c r="M232" s="92">
        <v>1</v>
      </c>
      <c r="N232" s="92">
        <v>1</v>
      </c>
      <c r="O232" s="93">
        <v>3</v>
      </c>
      <c r="P232" s="93">
        <v>3</v>
      </c>
      <c r="Q232" s="93">
        <v>3</v>
      </c>
      <c r="R232" s="93">
        <v>3</v>
      </c>
      <c r="S232" s="93">
        <v>1</v>
      </c>
      <c r="T232" s="93">
        <v>1</v>
      </c>
      <c r="U232" s="93">
        <v>1</v>
      </c>
      <c r="V232" s="93">
        <v>1</v>
      </c>
      <c r="W232" s="97">
        <v>1</v>
      </c>
      <c r="X232" s="97">
        <v>1</v>
      </c>
      <c r="Y232" s="93">
        <v>3</v>
      </c>
      <c r="Z232" s="93">
        <v>3</v>
      </c>
    </row>
    <row r="233" spans="2:26" x14ac:dyDescent="0.25">
      <c r="B233" s="91"/>
      <c r="C233" s="91"/>
      <c r="D233" s="91" t="s">
        <v>98</v>
      </c>
      <c r="E233" s="92">
        <v>1</v>
      </c>
      <c r="F233" s="92">
        <v>1</v>
      </c>
      <c r="G233" s="92">
        <v>2</v>
      </c>
      <c r="H233" s="92">
        <v>3</v>
      </c>
      <c r="I233" s="92">
        <v>3</v>
      </c>
      <c r="J233" s="92"/>
      <c r="K233" s="92"/>
      <c r="L233" s="92"/>
      <c r="M233" s="92">
        <v>1</v>
      </c>
      <c r="N233" s="92">
        <v>1</v>
      </c>
      <c r="O233" s="93">
        <v>3</v>
      </c>
      <c r="P233" s="93">
        <v>3</v>
      </c>
      <c r="Q233" s="93">
        <v>3</v>
      </c>
      <c r="R233" s="93">
        <v>3</v>
      </c>
      <c r="S233" s="93">
        <v>1</v>
      </c>
      <c r="T233" s="93">
        <v>1</v>
      </c>
      <c r="U233" s="93">
        <v>1</v>
      </c>
      <c r="V233" s="93">
        <v>1</v>
      </c>
      <c r="W233" s="97">
        <v>1</v>
      </c>
      <c r="X233" s="97">
        <v>1</v>
      </c>
      <c r="Y233" s="93">
        <v>3</v>
      </c>
      <c r="Z233" s="93">
        <v>3</v>
      </c>
    </row>
    <row r="234" spans="2:26" x14ac:dyDescent="0.25">
      <c r="B234" s="91"/>
      <c r="C234" s="91"/>
      <c r="D234" s="91" t="s">
        <v>99</v>
      </c>
      <c r="E234" s="92">
        <v>1</v>
      </c>
      <c r="F234" s="92">
        <v>1</v>
      </c>
      <c r="G234" s="92">
        <v>2</v>
      </c>
      <c r="H234" s="92">
        <v>3</v>
      </c>
      <c r="I234" s="92">
        <v>3</v>
      </c>
      <c r="J234" s="92"/>
      <c r="K234" s="92"/>
      <c r="L234" s="92"/>
      <c r="M234" s="92">
        <v>1</v>
      </c>
      <c r="N234" s="92">
        <v>1</v>
      </c>
      <c r="O234" s="93">
        <v>3</v>
      </c>
      <c r="P234" s="93">
        <v>3</v>
      </c>
      <c r="Q234" s="93">
        <v>3</v>
      </c>
      <c r="R234" s="93">
        <v>3</v>
      </c>
      <c r="S234" s="93">
        <v>1</v>
      </c>
      <c r="T234" s="93">
        <v>1</v>
      </c>
      <c r="U234" s="93">
        <v>1</v>
      </c>
      <c r="V234" s="93">
        <v>1</v>
      </c>
      <c r="W234" s="97">
        <v>1</v>
      </c>
      <c r="X234" s="97">
        <v>1</v>
      </c>
      <c r="Y234" s="93">
        <v>3</v>
      </c>
      <c r="Z234" s="93">
        <v>3</v>
      </c>
    </row>
  </sheetData>
  <mergeCells count="10">
    <mergeCell ref="F11:I11"/>
    <mergeCell ref="B3:R3"/>
    <mergeCell ref="H5:H6"/>
    <mergeCell ref="I5:I6"/>
    <mergeCell ref="L5:L6"/>
    <mergeCell ref="M5:M6"/>
    <mergeCell ref="N5:N6"/>
    <mergeCell ref="P5:P6"/>
    <mergeCell ref="Q5:Q6"/>
    <mergeCell ref="O5:O6"/>
  </mergeCell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17</vt:i4>
      </vt:variant>
    </vt:vector>
  </HeadingPairs>
  <TitlesOfParts>
    <vt:vector size="25" baseType="lpstr">
      <vt:lpstr>Cover Page</vt:lpstr>
      <vt:lpstr>Product_KPIs_&amp;_Metrics</vt:lpstr>
      <vt:lpstr>Process_KPIs_&amp;_Metrics</vt:lpstr>
      <vt:lpstr>Measures</vt:lpstr>
      <vt:lpstr>Schedule</vt:lpstr>
      <vt:lpstr>Resources</vt:lpstr>
      <vt:lpstr>KPIT_Metrics</vt:lpstr>
      <vt:lpstr>Skills_Competency_Desired</vt:lpstr>
      <vt:lpstr>'Product_KPIs_&amp;_Metrics'!Cats</vt:lpstr>
      <vt:lpstr>Resources!Cats</vt:lpstr>
      <vt:lpstr>Schedule!Cats</vt:lpstr>
      <vt:lpstr>Cats</vt:lpstr>
      <vt:lpstr>Grades</vt:lpstr>
      <vt:lpstr>'Cover Page'!Print_Area</vt:lpstr>
      <vt:lpstr>'Process_KPIs_&amp;_Metrics'!Print_Area</vt:lpstr>
      <vt:lpstr>'Product_KPIs_&amp;_Metrics'!Print_Area</vt:lpstr>
      <vt:lpstr>Roles</vt:lpstr>
      <vt:lpstr>Selected_Role</vt:lpstr>
      <vt:lpstr>'Product_KPIs_&amp;_Metrics'!SelectedCat</vt:lpstr>
      <vt:lpstr>SelectedCat</vt:lpstr>
      <vt:lpstr>'Product_KPIs_&amp;_Metrics'!SelectedKPI</vt:lpstr>
      <vt:lpstr>SelectedKPI</vt:lpstr>
      <vt:lpstr>SkillGroups</vt:lpstr>
      <vt:lpstr>SkillRoles</vt:lpstr>
      <vt:lpstr>Skills_DB</vt:lpstr>
    </vt:vector>
  </TitlesOfParts>
  <Company>KPIT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Project Measurement Resource Plan</dc:title>
  <dc:creator/>
  <dc:description>Config ID: KPITPGAPA PA 465_x000d_
Version 1.5 Date:14-Apr-2022_x000d_
Remarks:Implemented changes as per SCR 444 for minor macro change_x000d_
--------------------------------------------------_x000d_
Config ID: KPITPGAPA PA 465_x000d_
Version 1.4 Date:14-Aug-2021_x000d_
Remarks:implemented changes as per SCR 423 additional columns added to track katapult exceptions _x000d_
--------------------------------------------------_x000d_
Config ID: KPITPGAPA PA 465_x000d_
Version 1.3 Date:29-Jan-2021_x000d_
Remarks:implemented changes as per SCR 394, 411 &amp; 413 to add product metrics and to define mandatory metrics and to migrate Katapult metrics from SDPS and _x000d_
--------------------------------------------------_x000d_
Config ID: KPITPGAPA PA 465_x000d_
Version 1.2 Date:22-Oct-2020_x000d_
Remarks: Errors/changes and Added 'Review Effectiveness' KPI and metrics as per SCR 399, 406 and 389._x000d_
--------------------------------------_x000d_
Version: 1.1, Date:21-May-2020_x000d_
Remarks: Updated as per SCR374_x000d_
---------------------------------------------------_x000d_
Config ID: KPITPGAPA PA 465_x000d_
Version: 1.0, Date:19-Feb-2020_x000d_
Initial Version, created as per SCR329</dc:description>
  <cp:lastModifiedBy>Snehal Amar Dangat</cp:lastModifiedBy>
  <dcterms:created xsi:type="dcterms:W3CDTF">2019-08-26T06:31:18Z</dcterms:created>
  <dcterms:modified xsi:type="dcterms:W3CDTF">2022-05-11T06:31:27Z</dcterms:modified>
</cp:coreProperties>
</file>